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297F0EE0-4BE6-4C97-B023-9DDF631B500C}" xr6:coauthVersionLast="47" xr6:coauthVersionMax="47" xr10:uidLastSave="{00000000-0000-0000-0000-000000000000}"/>
  <bookViews>
    <workbookView xWindow="-28920" yWindow="5295" windowWidth="29040" windowHeight="15720" xr2:uid="{8320B7B2-DB43-47AE-A3E3-2C906EBFB710}"/>
  </bookViews>
  <sheets>
    <sheet name="261004 EconSheet" sheetId="1" r:id="rId1"/>
  </sheets>
  <externalReferences>
    <externalReference r:id="rId2"/>
  </externalReferences>
  <definedNames>
    <definedName name="_xlnm._FilterDatabase" localSheetId="0" hidden="1">'261004 EconSheet'!$A$28:$AF$33</definedName>
    <definedName name="Conditions" localSheetId="0">'261004 EconSheet'!$AH$3:$AH$96</definedName>
    <definedName name="CurrDates">[1]Currencies!$A$8:$A$14337</definedName>
    <definedName name="DataStart">'[1]Retrieved Data'!$A$1</definedName>
    <definedName name="DataTable" localSheetId="0">'261004 EconSheet'!$G$4:$AD$96</definedName>
    <definedName name="DataTableStart" localSheetId="0">'261004 EconSheet'!$G$4</definedName>
    <definedName name="DatesAndSeries" localSheetId="0">'261004 EconSheet'!$E$4:$F$96</definedName>
    <definedName name="DatesAndSeries">[1]EconSheet!$E$4:$F$96</definedName>
    <definedName name="DatesCol" localSheetId="0">'261004 EconSheet'!$E$4:$E$96</definedName>
    <definedName name="DatesCol">[1]EconSheet!$E$4:$E$96</definedName>
    <definedName name="ESSeries" localSheetId="0">'261004 EconSheet'!$B$4:$B$103</definedName>
    <definedName name="ForceAll" localSheetId="0">'261004 EconSheet'!#REF!</definedName>
    <definedName name="FormatOptions">[1]Calculations!$U$3:$U$14</definedName>
    <definedName name="FormatTable" localSheetId="0">'261004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'261004 EconSheet'!$F$1:$AD$54,'261004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'261004 EconSheet'!$AH$131</definedName>
    <definedName name="SpFormat2" localSheetId="0">'261004 EconSheet'!$AH$136</definedName>
    <definedName name="TrueFalse" localSheetId="0">'261004 EconSheet'!#REF!</definedName>
    <definedName name="TrueFalse">[1]EconSheet!$AU$1:$AU$2</definedName>
    <definedName name="WholeTable" localSheetId="0">'261004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B22" authorId="0" shapeId="0" xr:uid="{7C484B55-4817-4F28-A459-F8AA97EF344A}">
      <text>
        <r>
          <rPr>
            <sz val="9"/>
            <color indexed="81"/>
            <rFont val="Tahoma"/>
            <family val="2"/>
          </rPr>
          <t>Previous Value:
21</t>
        </r>
      </text>
    </comment>
    <comment ref="AC22" authorId="0" shapeId="0" xr:uid="{6D5AEE3F-A8A8-4277-BEB7-8736056109FA}">
      <text>
        <r>
          <rPr>
            <sz val="9"/>
            <color indexed="81"/>
            <rFont val="Tahoma"/>
            <family val="2"/>
          </rPr>
          <t>Previous Value:
162</t>
        </r>
      </text>
    </comment>
    <comment ref="AD22" authorId="0" shapeId="0" xr:uid="{1D2FFA7D-638E-4F27-8104-BB6A486088EF}">
      <text>
        <r>
          <rPr>
            <sz val="9"/>
            <color indexed="81"/>
            <rFont val="Tahoma"/>
            <family val="2"/>
          </rPr>
          <t>New Value</t>
        </r>
      </text>
    </comment>
    <comment ref="AD23" authorId="0" shapeId="0" xr:uid="{35B83389-051A-4229-906A-F86FD38638A5}">
      <text>
        <r>
          <rPr>
            <sz val="9"/>
            <color indexed="81"/>
            <rFont val="Tahoma"/>
            <family val="2"/>
          </rPr>
          <t>New Value</t>
        </r>
      </text>
    </comment>
    <comment ref="AD24" authorId="0" shapeId="0" xr:uid="{9C41CF44-BF46-42D2-BB55-0DB252995BB0}">
      <text>
        <r>
          <rPr>
            <sz val="9"/>
            <color indexed="81"/>
            <rFont val="Tahoma"/>
            <family val="2"/>
          </rPr>
          <t>New Value</t>
        </r>
      </text>
    </comment>
    <comment ref="AD25" authorId="0" shapeId="0" xr:uid="{61CFA7B5-1659-492D-B204-0579E63DFA03}">
      <text>
        <r>
          <rPr>
            <sz val="9"/>
            <color indexed="81"/>
            <rFont val="Tahoma"/>
            <family val="2"/>
          </rPr>
          <t>New Value</t>
        </r>
      </text>
    </comment>
    <comment ref="AD26" authorId="0" shapeId="0" xr:uid="{DDB04821-DA54-4A9B-A718-5997EB3E879F}">
      <text>
        <r>
          <rPr>
            <sz val="9"/>
            <color indexed="81"/>
            <rFont val="Tahoma"/>
            <family val="2"/>
          </rPr>
          <t>New Value</t>
        </r>
      </text>
    </comment>
    <comment ref="AB31" authorId="0" shapeId="0" xr:uid="{E950E71F-4A69-4787-81B2-737756E58D4A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AC31" authorId="0" shapeId="0" xr:uid="{E43EE45C-B347-477F-82C4-8BC10DFDD479}">
      <text>
        <r>
          <rPr>
            <sz val="9"/>
            <color indexed="81"/>
            <rFont val="Tahoma"/>
            <family val="2"/>
          </rPr>
          <t>New Value</t>
        </r>
      </text>
    </comment>
    <comment ref="AB32" authorId="0" shapeId="0" xr:uid="{F133819F-BDBA-45D1-B94B-E0F27432D6A3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AC32" authorId="0" shapeId="0" xr:uid="{D25ED936-DF5A-4F4B-B854-CC3E5D35EF86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AB33" authorId="0" shapeId="0" xr:uid="{B0E52BED-85A9-44E8-B37A-C5FD3F89E1D8}">
      <text>
        <r>
          <rPr>
            <sz val="9"/>
            <color indexed="81"/>
            <rFont val="Tahoma"/>
            <family val="2"/>
          </rPr>
          <t>Previous Value:
1.4</t>
        </r>
      </text>
    </comment>
    <comment ref="AC33" authorId="0" shapeId="0" xr:uid="{781DAA9F-0DB7-4D05-93B1-5D9B58BC6BCF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AB39" authorId="0" shapeId="0" xr:uid="{58CE26F9-3F4A-4655-83CA-79CA53A89790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AC39" authorId="0" shapeId="0" xr:uid="{1548D0C1-7BA2-4060-90FE-D13348419F21}">
      <text>
        <r>
          <rPr>
            <sz val="9"/>
            <color indexed="81"/>
            <rFont val="Tahoma"/>
            <family val="2"/>
          </rPr>
          <t>New Value</t>
        </r>
      </text>
    </comment>
    <comment ref="AB68" authorId="0" shapeId="0" xr:uid="{CC59052A-09E3-459A-B0D8-1C5626D0BE09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C68" authorId="0" shapeId="0" xr:uid="{28C5FE7C-78A6-4262-AA80-01A2B549386B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<sst xmlns="http://schemas.openxmlformats.org/spreadsheetml/2006/main" count="418" uniqueCount="191">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</sst>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5" fontId="4" fillId="3" borderId="3" xfId="1" applyNumberFormat="1" applyFont="1" applyFill="1" applyBorder="1"/>
    <xf numFmtId="165" fontId="4" fillId="0" borderId="4" xfId="1" applyNumberFormat="1" applyFont="1" applyBorder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3" borderId="4" xfId="1" applyNumberFormat="1" applyFont="1" applyFill="1" applyBorder="1"/>
    <xf numFmtId="165" fontId="4" fillId="4" borderId="5" xfId="1" applyNumberFormat="1" applyFont="1" applyFill="1" applyBorder="1"/>
    <xf numFmtId="165" fontId="4" fillId="4" borderId="6" xfId="1" applyNumberFormat="1" applyFont="1" applyFill="1" applyBorder="1"/>
    <xf numFmtId="165" fontId="4" fillId="3" borderId="5" xfId="1" applyNumberFormat="1" applyFont="1" applyFill="1" applyBorder="1"/>
    <xf numFmtId="165" fontId="4" fillId="0" borderId="6" xfId="1" applyNumberFormat="1" applyFont="1" applyBorder="1"/>
    <xf numFmtId="165" fontId="4" fillId="4" borderId="3" xfId="1" applyNumberFormat="1" applyFont="1" applyFill="1" applyBorder="1"/>
    <xf numFmtId="165" fontId="4" fillId="4" borderId="4" xfId="1" applyNumberFormat="1" applyFont="1" applyFill="1" applyBorder="1"/>
    <xf numFmtId="1" fontId="4" fillId="3" borderId="7" xfId="1" applyNumberFormat="1" applyFont="1" applyFill="1" applyBorder="1"/>
    <xf numFmtId="1" fontId="4" fillId="4" borderId="8" xfId="1" applyNumberFormat="1" applyFont="1" applyFill="1" applyBorder="1"/>
    <xf numFmtId="3" fontId="4" fillId="4" borderId="3" xfId="1" applyNumberFormat="1" applyFont="1" applyFill="1" applyBorder="1"/>
    <xf numFmtId="3" fontId="4" fillId="0" borderId="4" xfId="1" applyNumberFormat="1" applyFont="1" applyBorder="1"/>
    <xf numFmtId="0" fontId="0" fillId="2" borderId="0" xfId="0" applyFill="1"/>
    <xf numFmtId="3" fontId="4" fillId="4" borderId="0" xfId="1" applyNumberFormat="1" applyFont="1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6BD2FFA4-5668-4090-963B-F2A77D499492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F58385C5-418A-4082-95B5-8D5F00B3B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F6E651A3-821B-4F89-B902-42B527E8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Retrieved Data (2)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46303.506585648138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46302.554525462969</v>
          </cell>
          <cell r="F52" t="str">
            <v>Crude Oil WTI Cushing - Spot USD/BBL Last day of Month</v>
          </cell>
        </row>
        <row r="53">
          <cell r="E53">
            <v>46302.554513888899</v>
          </cell>
          <cell r="F53" t="str">
            <v>Crude Oil Brent - Spot USD/BBL Last day of Month</v>
          </cell>
        </row>
        <row r="54">
          <cell r="E54">
            <v>46302.56422453704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46300.678333333344</v>
          </cell>
          <cell r="F74" t="str">
            <v>3-Month Treasury Bills, Secondary market (%)</v>
          </cell>
        </row>
        <row r="75">
          <cell r="E75">
            <v>46300.678298611107</v>
          </cell>
          <cell r="F75" t="str">
            <v>Bank Prime Rate (%)</v>
          </cell>
        </row>
        <row r="76">
          <cell r="E76">
            <v>46300.678356481483</v>
          </cell>
          <cell r="F76" t="str">
            <v>2-yr. Treasury Bond Yield at Constant Maturity (%)</v>
          </cell>
        </row>
        <row r="77">
          <cell r="E77">
            <v>46300.67841435186</v>
          </cell>
          <cell r="F77" t="str">
            <v>10-yr. Treasury Bond Yield at Constant Maturity (%)</v>
          </cell>
        </row>
        <row r="78">
          <cell r="E78">
            <v>46300.710868055554</v>
          </cell>
          <cell r="F78" t="str">
            <v>10 Yr - 2 Yr Treasury Spread - Const Maturity %</v>
          </cell>
        </row>
        <row r="79">
          <cell r="E79">
            <v>46300.678263888898</v>
          </cell>
          <cell r="F79" t="str">
            <v>10-yr. Treasury Bond Yield at Const. Mat. Inflation Indexed (%)</v>
          </cell>
        </row>
        <row r="80">
          <cell r="E80">
            <v>46300.678368055553</v>
          </cell>
          <cell r="F80" t="str">
            <v>30-yr. Treasury Bond Yield at Constant Maturity (%)</v>
          </cell>
        </row>
        <row r="81">
          <cell r="E81">
            <v>46300.710821759261</v>
          </cell>
          <cell r="F81" t="str">
            <v>10 Yr - 3 Month Treasury Spread - Const Maturity %</v>
          </cell>
        </row>
        <row r="82">
          <cell r="E82">
            <v>46300.678217592591</v>
          </cell>
          <cell r="F82" t="str">
            <v>USD/EUR Exchange Rate - Last Day of Month</v>
          </cell>
        </row>
        <row r="83">
          <cell r="E83">
            <v>46300.678437499999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2"/>
      <sheetData sheetId="13"/>
      <sheetData sheetId="14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5"/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A4C9-FFD1-4BB9-8251-6E3665CBBB38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9" customFormat="1" ht="15.75" x14ac:dyDescent="0.25">
      <c r="A1" s="81"/>
      <c r="B1" s="81"/>
      <c r="C1" s="81"/>
      <c r="D1" s="37"/>
      <c r="E1" s="37"/>
      <c r="F1" s="81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9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0">
        <v>45566</v>
      </c>
      <c r="H2" s="80">
        <v>45597</v>
      </c>
      <c r="I2" s="80">
        <v>45627</v>
      </c>
      <c r="J2" s="80">
        <v>45658</v>
      </c>
      <c r="K2" s="80">
        <v>45689</v>
      </c>
      <c r="L2" s="80">
        <v>45717</v>
      </c>
      <c r="M2" s="80">
        <v>45748</v>
      </c>
      <c r="N2" s="80">
        <v>45778</v>
      </c>
      <c r="O2" s="80">
        <v>45809</v>
      </c>
      <c r="P2" s="80">
        <v>45839</v>
      </c>
      <c r="Q2" s="80">
        <v>45870</v>
      </c>
      <c r="R2" s="80">
        <v>45901</v>
      </c>
      <c r="S2" s="80">
        <v>45931</v>
      </c>
      <c r="T2" s="80">
        <v>45962</v>
      </c>
      <c r="U2" s="80">
        <v>45992</v>
      </c>
      <c r="V2" s="80">
        <v>46023</v>
      </c>
      <c r="W2" s="80">
        <v>46054</v>
      </c>
      <c r="X2" s="80">
        <v>46082</v>
      </c>
      <c r="Y2" s="80">
        <v>46113</v>
      </c>
      <c r="Z2" s="80">
        <v>46143</v>
      </c>
      <c r="AA2" s="80">
        <v>46174</v>
      </c>
      <c r="AB2" s="80">
        <v>46204</v>
      </c>
      <c r="AC2" s="80">
        <v>46235</v>
      </c>
      <c r="AD2" s="80">
        <v>46266</v>
      </c>
      <c r="AH2" s="79" t="s">
        <v>185</v>
      </c>
    </row>
    <row r="3" spans="1:34" ht="15.75" x14ac:dyDescent="0.25">
      <c r="A3" s="10"/>
      <c r="B3" s="10" t="s">
        <v>184</v>
      </c>
      <c r="C3" s="10"/>
      <c r="D3" s="78">
        <v>46297.421203703707</v>
      </c>
      <c r="E3" s="77">
        <v>46296.618888888886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8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76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8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8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7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75">
        <v>1256</v>
      </c>
      <c r="AB11" s="75">
        <v>1267</v>
      </c>
      <c r="AC11" s="75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1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46296.506585648145</v>
      </c>
      <c r="E13" s="52">
        <v>46303.506585648138</v>
      </c>
      <c r="F13" s="42" t="s">
        <v>162</v>
      </c>
      <c r="G13" s="41" t="e">
        <v>#N/A</v>
      </c>
      <c r="H13" s="46">
        <v>6.81</v>
      </c>
      <c r="I13" s="46">
        <v>6.72</v>
      </c>
      <c r="J13" s="46">
        <v>6.96</v>
      </c>
      <c r="K13" s="46">
        <v>6.84</v>
      </c>
      <c r="L13" s="46">
        <v>6.65</v>
      </c>
      <c r="M13" s="46">
        <v>6.73</v>
      </c>
      <c r="N13" s="46">
        <v>6.82</v>
      </c>
      <c r="O13" s="46">
        <v>6.82</v>
      </c>
      <c r="P13" s="46">
        <v>6.72</v>
      </c>
      <c r="Q13" s="46">
        <v>6.59</v>
      </c>
      <c r="R13" s="46">
        <v>6.35</v>
      </c>
      <c r="S13" s="46">
        <v>6.25</v>
      </c>
      <c r="T13" s="46">
        <v>6.24</v>
      </c>
      <c r="U13" s="46">
        <v>6.19</v>
      </c>
      <c r="V13" s="46">
        <v>6.1</v>
      </c>
      <c r="W13" s="46">
        <v>6.05</v>
      </c>
      <c r="X13" s="46">
        <v>6.18</v>
      </c>
      <c r="Y13" s="46">
        <v>6.33</v>
      </c>
      <c r="Z13" s="46">
        <v>6.44</v>
      </c>
      <c r="AA13" s="46">
        <v>6.49</v>
      </c>
      <c r="AB13" s="46">
        <v>6.54</v>
      </c>
      <c r="AC13" s="46">
        <v>6.67</v>
      </c>
      <c r="AD13" s="46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74"/>
      <c r="W14" s="74"/>
      <c r="X14" s="74"/>
      <c r="Y14" s="74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8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1">
        <v>1.242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61">
        <v>1.837</v>
      </c>
      <c r="AC18" s="61">
        <v>1.8080000000000001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4">
        <v>100.72499999999999</v>
      </c>
      <c r="AC19" s="54">
        <v>94.197000000000003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6.5" thickBot="1" x14ac:dyDescent="0.3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36"/>
      <c r="AC21" s="36"/>
      <c r="AD21" s="36"/>
      <c r="AH21" t="s">
        <v>32</v>
      </c>
    </row>
    <row r="22" spans="1:34" ht="17.25" thickTop="1" thickBot="1" x14ac:dyDescent="0.3">
      <c r="A22" s="1">
        <v>47</v>
      </c>
      <c r="B22" s="1" t="s">
        <v>151</v>
      </c>
      <c r="C22" s="16" t="s">
        <v>144</v>
      </c>
      <c r="D22" s="24">
        <v>46297.392048611109</v>
      </c>
      <c r="E22" s="48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73">
        <v>-10</v>
      </c>
      <c r="AC22" s="72">
        <v>133</v>
      </c>
      <c r="AD22" s="71">
        <v>29</v>
      </c>
      <c r="AH22" t="s">
        <v>21</v>
      </c>
    </row>
    <row r="23" spans="1:34" ht="17.25" thickTop="1" thickBot="1" x14ac:dyDescent="0.3">
      <c r="A23" s="1">
        <v>49</v>
      </c>
      <c r="B23" s="1" t="s">
        <v>149</v>
      </c>
      <c r="C23" s="16" t="s">
        <v>144</v>
      </c>
      <c r="D23" s="24">
        <v>46297.392071759263</v>
      </c>
      <c r="E23" s="48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70">
        <v>78</v>
      </c>
      <c r="AH23" t="s">
        <v>18</v>
      </c>
    </row>
    <row r="24" spans="1:34" ht="17.25" thickTop="1" thickBot="1" x14ac:dyDescent="0.3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61">
        <v>4.0999999999999996</v>
      </c>
      <c r="AD24" s="63">
        <v>4.2</v>
      </c>
      <c r="AH24" t="s">
        <v>6</v>
      </c>
    </row>
    <row r="25" spans="1:34" ht="17.25" thickTop="1" thickBot="1" x14ac:dyDescent="0.3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65">
        <v>33.799999999999997</v>
      </c>
      <c r="AH25" t="s">
        <v>10</v>
      </c>
    </row>
    <row r="26" spans="1:34" ht="17.25" thickTop="1" thickBot="1" x14ac:dyDescent="0.3">
      <c r="A26" s="1">
        <v>51</v>
      </c>
      <c r="B26" s="1" t="s">
        <v>142</v>
      </c>
      <c r="C26" s="16" t="s">
        <v>103</v>
      </c>
      <c r="D26" s="24">
        <v>46297.393252314818</v>
      </c>
      <c r="E26" s="48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65">
        <v>0.28566999999999998</v>
      </c>
      <c r="AH26" t="s">
        <v>21</v>
      </c>
    </row>
    <row r="27" spans="1:34" ht="16.5" thickTop="1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8">
        <v>46311.38898148149</v>
      </c>
      <c r="F29" s="47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6.5" thickBot="1" x14ac:dyDescent="0.3">
      <c r="A30" s="1">
        <v>111</v>
      </c>
      <c r="B30" s="1" t="s">
        <v>137</v>
      </c>
      <c r="C30" s="16" t="s">
        <v>37</v>
      </c>
      <c r="D30" s="24">
        <v>46283.387928240743</v>
      </c>
      <c r="E30" s="48">
        <v>46311.387928240743</v>
      </c>
      <c r="F30" s="47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7.25" thickTop="1" thickBot="1" x14ac:dyDescent="0.3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69">
        <v>0.76727000000000001</v>
      </c>
      <c r="AC31" s="68">
        <v>9.8669999999999994E-2</v>
      </c>
      <c r="AD31" s="4" t="e">
        <v>#N/A</v>
      </c>
      <c r="AH31" t="s">
        <v>21</v>
      </c>
    </row>
    <row r="32" spans="1:34" ht="17.25" thickTop="1" thickBot="1" x14ac:dyDescent="0.3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67">
        <v>0.86992000000000003</v>
      </c>
      <c r="AC32" s="66">
        <v>-7.145E-2</v>
      </c>
      <c r="AD32" s="7" t="e">
        <v>#N/A</v>
      </c>
      <c r="AH32" t="s">
        <v>21</v>
      </c>
    </row>
    <row r="33" spans="1:34" ht="17.25" thickTop="1" thickBot="1" x14ac:dyDescent="0.3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65">
        <v>1.42343</v>
      </c>
      <c r="AC33" s="64">
        <v>0.53724000000000005</v>
      </c>
      <c r="AD33" s="7" t="e">
        <v>#N/A</v>
      </c>
      <c r="AH33" t="s">
        <v>21</v>
      </c>
    </row>
    <row r="34" spans="1:34" ht="16.5" thickTop="1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6.5" thickBot="1" x14ac:dyDescent="0.3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54">
        <v>0.8</v>
      </c>
      <c r="AC38" s="7" t="e">
        <v>#N/A</v>
      </c>
      <c r="AD38" s="4" t="e">
        <v>#N/A</v>
      </c>
      <c r="AH38" t="s">
        <v>18</v>
      </c>
    </row>
    <row r="39" spans="1:34" ht="17.25" thickTop="1" thickBot="1" x14ac:dyDescent="0.3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63">
        <v>0.36033999999999999</v>
      </c>
      <c r="AC39" s="55">
        <v>0.38933000000000001</v>
      </c>
      <c r="AD39" s="7" t="e">
        <v>#N/A</v>
      </c>
      <c r="AH39" t="s">
        <v>18</v>
      </c>
    </row>
    <row r="40" spans="1:34" ht="16.5" thickTop="1" x14ac:dyDescent="0.25">
      <c r="A40" s="25"/>
      <c r="B40" s="25"/>
      <c r="C40" s="25"/>
      <c r="D40" s="37"/>
      <c r="E40" s="14"/>
      <c r="F40" s="25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61">
        <v>0.39950999999999998</v>
      </c>
      <c r="X44" s="61">
        <v>12.589549999999999</v>
      </c>
      <c r="Y44" s="61">
        <v>17.536049999999999</v>
      </c>
      <c r="Z44" s="61">
        <v>22.97287</v>
      </c>
      <c r="AA44" s="61">
        <v>15.451370000000001</v>
      </c>
      <c r="AB44" s="61">
        <v>14.44533</v>
      </c>
      <c r="AC44" s="61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7">
        <v>115</v>
      </c>
      <c r="B51" s="47" t="s">
        <v>101</v>
      </c>
      <c r="C51" s="16" t="s">
        <v>100</v>
      </c>
      <c r="D51" s="24">
        <v>46251.618888888886</v>
      </c>
      <c r="E51" s="48">
        <v>46296.618888888886</v>
      </c>
      <c r="F51" s="47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46295.554525462961</v>
      </c>
      <c r="E52" s="14">
        <v>46302.554525462969</v>
      </c>
      <c r="F52" s="25" t="s">
        <v>97</v>
      </c>
      <c r="G52" s="41">
        <v>71.989999999999995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1">
        <v>83.9</v>
      </c>
      <c r="AD52" s="51">
        <v>97.31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46295.554513888892</v>
      </c>
      <c r="E53" s="20">
        <v>46302.554513888899</v>
      </c>
      <c r="F53" s="6" t="s">
        <v>95</v>
      </c>
      <c r="G53" s="44">
        <v>75.63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60">
        <v>91.08</v>
      </c>
      <c r="AD53" s="60">
        <v>114.08</v>
      </c>
      <c r="AH53" t="s">
        <v>6</v>
      </c>
    </row>
    <row r="54" spans="1:34" ht="15.75" x14ac:dyDescent="0.25">
      <c r="A54" s="59">
        <v>117</v>
      </c>
      <c r="B54" s="59" t="s">
        <v>94</v>
      </c>
      <c r="C54" s="16" t="s">
        <v>93</v>
      </c>
      <c r="D54" s="24">
        <v>46295.56422453704</v>
      </c>
      <c r="E54" s="23">
        <v>46302.56422453704</v>
      </c>
      <c r="F54" s="59" t="s">
        <v>92</v>
      </c>
      <c r="G54" s="41">
        <v>2.2000000000000002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1">
        <v>2.95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8">
        <v>2024</v>
      </c>
      <c r="H56" s="58" t="s">
        <v>35</v>
      </c>
      <c r="I56" s="58" t="s">
        <v>35</v>
      </c>
      <c r="J56" s="58">
        <v>2025</v>
      </c>
      <c r="K56" s="58" t="s">
        <v>35</v>
      </c>
      <c r="L56" s="58" t="s">
        <v>35</v>
      </c>
      <c r="M56" s="58" t="s">
        <v>35</v>
      </c>
      <c r="N56" s="58" t="s">
        <v>35</v>
      </c>
      <c r="O56" s="58" t="s">
        <v>35</v>
      </c>
      <c r="P56" s="58" t="s">
        <v>35</v>
      </c>
      <c r="Q56" s="58">
        <v>2025</v>
      </c>
      <c r="R56" s="58" t="s">
        <v>35</v>
      </c>
      <c r="S56" s="58" t="s">
        <v>35</v>
      </c>
      <c r="T56" s="58" t="s">
        <v>35</v>
      </c>
      <c r="U56" s="58" t="s">
        <v>35</v>
      </c>
      <c r="V56" s="58">
        <v>2026</v>
      </c>
      <c r="W56" s="58" t="s">
        <v>35</v>
      </c>
      <c r="X56" s="58" t="s">
        <v>35</v>
      </c>
      <c r="Y56" s="58" t="s">
        <v>35</v>
      </c>
      <c r="Z56" s="58" t="s">
        <v>35</v>
      </c>
      <c r="AA56" s="58" t="s">
        <v>35</v>
      </c>
      <c r="AB56" s="58" t="s">
        <v>35</v>
      </c>
      <c r="AC56" s="58" t="s">
        <v>35</v>
      </c>
      <c r="AD56" s="58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7">
        <v>45566</v>
      </c>
      <c r="H57" s="57">
        <v>45597</v>
      </c>
      <c r="I57" s="57">
        <v>45627</v>
      </c>
      <c r="J57" s="57">
        <v>45658</v>
      </c>
      <c r="K57" s="57">
        <v>45689</v>
      </c>
      <c r="L57" s="57">
        <v>45717</v>
      </c>
      <c r="M57" s="57">
        <v>45748</v>
      </c>
      <c r="N57" s="57">
        <v>45778</v>
      </c>
      <c r="O57" s="57">
        <v>45809</v>
      </c>
      <c r="P57" s="57">
        <v>45839</v>
      </c>
      <c r="Q57" s="57">
        <v>45870</v>
      </c>
      <c r="R57" s="57">
        <v>45901</v>
      </c>
      <c r="S57" s="57">
        <v>45931</v>
      </c>
      <c r="T57" s="57">
        <v>45962</v>
      </c>
      <c r="U57" s="57">
        <v>45992</v>
      </c>
      <c r="V57" s="57">
        <v>46023</v>
      </c>
      <c r="W57" s="57">
        <v>46054</v>
      </c>
      <c r="X57" s="57">
        <v>46082</v>
      </c>
      <c r="Y57" s="57">
        <v>46113</v>
      </c>
      <c r="Z57" s="57">
        <v>46143</v>
      </c>
      <c r="AA57" s="57">
        <v>46174</v>
      </c>
      <c r="AB57" s="57">
        <v>46204</v>
      </c>
      <c r="AC57" s="57">
        <v>46235</v>
      </c>
      <c r="AD57" s="57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4">
        <v>-5.3999999999999999E-2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4">
        <v>4.0999999999999996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7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ht="16.5" thickBot="1" x14ac:dyDescent="0.3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ht="17.25" thickTop="1" thickBot="1" x14ac:dyDescent="0.3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56">
        <v>0.27812999999999999</v>
      </c>
      <c r="AC68" s="55">
        <v>-0.46645999999999999</v>
      </c>
      <c r="AD68" s="7" t="e">
        <v>#N/A</v>
      </c>
      <c r="AH68" t="s">
        <v>21</v>
      </c>
    </row>
    <row r="69" spans="1:34" ht="16.5" thickTop="1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7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8">
        <v>46322.542708333334</v>
      </c>
      <c r="F72" s="47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0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46296.678333333337</v>
      </c>
      <c r="E74" s="48">
        <v>46300.678333333344</v>
      </c>
      <c r="F74" s="47" t="s">
        <v>57</v>
      </c>
      <c r="G74" s="46">
        <v>4.51</v>
      </c>
      <c r="H74" s="46">
        <v>4.42</v>
      </c>
      <c r="I74" s="46">
        <v>4.2699999999999996</v>
      </c>
      <c r="J74" s="46">
        <v>4.21</v>
      </c>
      <c r="K74" s="46">
        <v>4.22</v>
      </c>
      <c r="L74" s="46">
        <v>4.2</v>
      </c>
      <c r="M74" s="46">
        <v>4.21</v>
      </c>
      <c r="N74" s="46">
        <v>4.25</v>
      </c>
      <c r="O74" s="46">
        <v>4.2300000000000004</v>
      </c>
      <c r="P74" s="46">
        <v>4.25</v>
      </c>
      <c r="Q74" s="46">
        <v>4.12</v>
      </c>
      <c r="R74" s="46">
        <v>3.92</v>
      </c>
      <c r="S74" s="46">
        <v>3.82</v>
      </c>
      <c r="T74" s="46">
        <v>3.78</v>
      </c>
      <c r="U74" s="46">
        <v>3.59</v>
      </c>
      <c r="V74" s="46">
        <v>3.57</v>
      </c>
      <c r="W74" s="46">
        <v>3.6</v>
      </c>
      <c r="X74" s="46">
        <v>3.61</v>
      </c>
      <c r="Y74" s="46">
        <v>3.61</v>
      </c>
      <c r="Z74" s="46">
        <v>3.6</v>
      </c>
      <c r="AA74" s="46">
        <v>3.66</v>
      </c>
      <c r="AB74" s="46">
        <v>3.73</v>
      </c>
      <c r="AC74" s="46">
        <v>3.72</v>
      </c>
      <c r="AD74" s="46">
        <v>3.94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46296.678298611114</v>
      </c>
      <c r="E75" s="52">
        <v>46300.678298611107</v>
      </c>
      <c r="F75" s="42" t="s">
        <v>55</v>
      </c>
      <c r="G75" s="46">
        <v>8</v>
      </c>
      <c r="H75" s="46">
        <v>7.81</v>
      </c>
      <c r="I75" s="46">
        <v>7.65</v>
      </c>
      <c r="J75" s="46">
        <v>7.5</v>
      </c>
      <c r="K75" s="46">
        <v>7.5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7.38</v>
      </c>
      <c r="S75" s="46">
        <v>7.23</v>
      </c>
      <c r="T75" s="46">
        <v>7</v>
      </c>
      <c r="U75" s="46">
        <v>6.84</v>
      </c>
      <c r="V75" s="46">
        <v>6.75</v>
      </c>
      <c r="W75" s="46">
        <v>6.75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6.86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46296.678356481483</v>
      </c>
      <c r="E76" s="53">
        <v>46300.678356481483</v>
      </c>
      <c r="F76" s="45" t="s">
        <v>53</v>
      </c>
      <c r="G76" s="49">
        <v>3.97</v>
      </c>
      <c r="H76" s="49">
        <v>4.26</v>
      </c>
      <c r="I76" s="49">
        <v>4.2300000000000004</v>
      </c>
      <c r="J76" s="49">
        <v>4.2699999999999996</v>
      </c>
      <c r="K76" s="49">
        <v>4.21</v>
      </c>
      <c r="L76" s="49">
        <v>3.97</v>
      </c>
      <c r="M76" s="49">
        <v>3.78</v>
      </c>
      <c r="N76" s="49">
        <v>3.92</v>
      </c>
      <c r="O76" s="49">
        <v>3.89</v>
      </c>
      <c r="P76" s="49">
        <v>3.88</v>
      </c>
      <c r="Q76" s="49">
        <v>3.7</v>
      </c>
      <c r="R76" s="49">
        <v>3.57</v>
      </c>
      <c r="S76" s="49">
        <v>3.52</v>
      </c>
      <c r="T76" s="49">
        <v>3.55</v>
      </c>
      <c r="U76" s="49">
        <v>3.5</v>
      </c>
      <c r="V76" s="49">
        <v>3.54</v>
      </c>
      <c r="W76" s="49">
        <v>3.47</v>
      </c>
      <c r="X76" s="49">
        <v>3.71</v>
      </c>
      <c r="Y76" s="49">
        <v>3.8</v>
      </c>
      <c r="Z76" s="49">
        <v>4</v>
      </c>
      <c r="AA76" s="49">
        <v>4.1100000000000003</v>
      </c>
      <c r="AB76" s="49">
        <v>4.22</v>
      </c>
      <c r="AC76" s="49">
        <v>4.22</v>
      </c>
      <c r="AD76" s="49">
        <v>4.6500000000000004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46296.678414351853</v>
      </c>
      <c r="E77" s="52">
        <v>46300.67841435186</v>
      </c>
      <c r="F77" s="47" t="s">
        <v>51</v>
      </c>
      <c r="G77" s="46">
        <v>4.0999999999999996</v>
      </c>
      <c r="H77" s="46">
        <v>4.3600000000000003</v>
      </c>
      <c r="I77" s="46">
        <v>4.3899999999999997</v>
      </c>
      <c r="J77" s="46">
        <v>4.63</v>
      </c>
      <c r="K77" s="46">
        <v>4.45</v>
      </c>
      <c r="L77" s="46">
        <v>4.28</v>
      </c>
      <c r="M77" s="46">
        <v>4.28</v>
      </c>
      <c r="N77" s="46">
        <v>4.42</v>
      </c>
      <c r="O77" s="46">
        <v>4.38</v>
      </c>
      <c r="P77" s="46">
        <v>4.3899999999999997</v>
      </c>
      <c r="Q77" s="46">
        <v>4.26</v>
      </c>
      <c r="R77" s="46">
        <v>4.12</v>
      </c>
      <c r="S77" s="46">
        <v>4.0599999999999996</v>
      </c>
      <c r="T77" s="46">
        <v>4.09</v>
      </c>
      <c r="U77" s="46">
        <v>4.1399999999999997</v>
      </c>
      <c r="V77" s="46">
        <v>4.21</v>
      </c>
      <c r="W77" s="46">
        <v>4.13</v>
      </c>
      <c r="X77" s="46">
        <v>4.25</v>
      </c>
      <c r="Y77" s="46">
        <v>4.32</v>
      </c>
      <c r="Z77" s="46">
        <v>4.4800000000000004</v>
      </c>
      <c r="AA77" s="46">
        <v>4.47</v>
      </c>
      <c r="AB77" s="46">
        <v>4.5999999999999996</v>
      </c>
      <c r="AC77" s="46">
        <v>4.68</v>
      </c>
      <c r="AD77" s="46">
        <v>4.99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2">
        <v>46300.710868055554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1">
        <v>0.34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46296.678263888891</v>
      </c>
      <c r="E79" s="50">
        <v>46300.678263888898</v>
      </c>
      <c r="F79" s="45" t="s">
        <v>47</v>
      </c>
      <c r="G79" s="49">
        <v>1.81</v>
      </c>
      <c r="H79" s="49">
        <v>2.0299999999999998</v>
      </c>
      <c r="I79" s="49">
        <v>2.09</v>
      </c>
      <c r="J79" s="49">
        <v>2.23</v>
      </c>
      <c r="K79" s="49">
        <v>2.0299999999999998</v>
      </c>
      <c r="L79" s="49">
        <v>1.95</v>
      </c>
      <c r="M79" s="49">
        <v>2.04</v>
      </c>
      <c r="N79" s="49">
        <v>2.11</v>
      </c>
      <c r="O79" s="49">
        <v>2.09</v>
      </c>
      <c r="P79" s="49">
        <v>2.0099999999999998</v>
      </c>
      <c r="Q79" s="49">
        <v>1.88</v>
      </c>
      <c r="R79" s="49">
        <v>1.75</v>
      </c>
      <c r="S79" s="49">
        <v>1.76</v>
      </c>
      <c r="T79" s="49">
        <v>1.83</v>
      </c>
      <c r="U79" s="49">
        <v>1.9</v>
      </c>
      <c r="V79" s="49">
        <v>1.91</v>
      </c>
      <c r="W79" s="49">
        <v>1.82</v>
      </c>
      <c r="X79" s="49">
        <v>1.91</v>
      </c>
      <c r="Y79" s="49">
        <v>1.94</v>
      </c>
      <c r="Z79" s="49">
        <v>2.04</v>
      </c>
      <c r="AA79" s="49">
        <v>2.1800000000000002</v>
      </c>
      <c r="AB79" s="49">
        <v>2.35</v>
      </c>
      <c r="AC79" s="49">
        <v>2.4</v>
      </c>
      <c r="AD79" s="49">
        <v>2.64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46296.678368055553</v>
      </c>
      <c r="E80" s="48">
        <v>46300.678368055553</v>
      </c>
      <c r="F80" s="47" t="s">
        <v>45</v>
      </c>
      <c r="G80" s="46">
        <v>4.38</v>
      </c>
      <c r="H80" s="46">
        <v>4.54</v>
      </c>
      <c r="I80" s="46">
        <v>4.58</v>
      </c>
      <c r="J80" s="46">
        <v>4.8499999999999996</v>
      </c>
      <c r="K80" s="46">
        <v>4.68</v>
      </c>
      <c r="L80" s="46">
        <v>4.5999999999999996</v>
      </c>
      <c r="M80" s="46">
        <v>4.71</v>
      </c>
      <c r="N80" s="46">
        <v>4.9000000000000004</v>
      </c>
      <c r="O80" s="46">
        <v>4.8899999999999997</v>
      </c>
      <c r="P80" s="46">
        <v>4.92</v>
      </c>
      <c r="Q80" s="46">
        <v>4.87</v>
      </c>
      <c r="R80" s="46">
        <v>4.74</v>
      </c>
      <c r="S80" s="46">
        <v>4.6399999999999997</v>
      </c>
      <c r="T80" s="46">
        <v>4.7</v>
      </c>
      <c r="U80" s="46">
        <v>4.8</v>
      </c>
      <c r="V80" s="46">
        <v>4.84</v>
      </c>
      <c r="W80" s="46">
        <v>4.76</v>
      </c>
      <c r="X80" s="46">
        <v>4.8499999999999996</v>
      </c>
      <c r="Y80" s="46">
        <v>4.91</v>
      </c>
      <c r="Z80" s="46">
        <v>5.03</v>
      </c>
      <c r="AA80" s="46">
        <v>4.95</v>
      </c>
      <c r="AB80" s="46">
        <v>5.0999999999999996</v>
      </c>
      <c r="AC80" s="46">
        <v>5.22</v>
      </c>
      <c r="AD80" s="46">
        <v>5.37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46296.710821759261</v>
      </c>
      <c r="E81" s="14">
        <v>46300.710821759261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0">
        <v>0.9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46293.678217592591</v>
      </c>
      <c r="E82" s="20">
        <v>46300.678217592591</v>
      </c>
      <c r="F82" s="45" t="s">
        <v>39</v>
      </c>
      <c r="G82" s="44">
        <v>1.0894999999999999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1.1531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46293.678437499999</v>
      </c>
      <c r="E83" s="23">
        <v>46300.678437499999</v>
      </c>
      <c r="F83" s="42" t="s">
        <v>36</v>
      </c>
      <c r="G83" s="41">
        <v>123.59529999999999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118.93470000000001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97150B52-860A-445E-8060-0B4FC7CA8A0E}">
      <formula1>FormatOptions</formula1>
    </dataValidation>
  </dataValidations>
  <hyperlinks>
    <hyperlink ref="C4" r:id="rId1" display="https://fred.stlouisfed.org/series/MPCTXXXXS" xr:uid="{306C2717-9758-44AF-A8F2-36F7C1C2FA51}"/>
    <hyperlink ref="C5" r:id="rId2" display="https://fred.stlouisfed.org/series/TLPRVCONS" xr:uid="{E42D76BD-E801-4D91-ABF7-1CC5BC6B4B28}"/>
    <hyperlink ref="C6" r:id="rId3" display="https://fred.stlouisfed.org/series/TLRESCONS" xr:uid="{2EF82CE8-964B-4E16-99CB-DEDAFA49DEB1}"/>
    <hyperlink ref="C7" r:id="rId4" display="https://fred.stlouisfed.org/series/TLHWYCONS" xr:uid="{141797BD-E4CB-4C28-8DFC-3BB39209E8F4}"/>
    <hyperlink ref="C8" r:id="rId5" display="https://fred.stlouisfed.org/series/HSN1F" xr:uid="{78F64A1B-5E78-40D7-97B3-1A6D24D01502}"/>
    <hyperlink ref="C9" r:id="rId6" display="https://fred.stlouisfed.org/series/HOUST" xr:uid="{2C1BFEF8-E6BB-48C8-8A75-55BADC898016}"/>
    <hyperlink ref="C11" r:id="rId7" display="https://fred.stlouisfed.org/series/UNDCONTSA" xr:uid="{8638D4D2-4DAE-4514-B2DE-3515F3137CF4}"/>
    <hyperlink ref="C12" r:id="rId8" display="https://fred.stlouisfed.org/series/PERMIT" xr:uid="{98EE16C0-25BA-4EC1-8889-BFC6EA93AB92}"/>
    <hyperlink ref="C13" r:id="rId9" display="https://fred.stlouisfed.org/series/MORTGAGE30US" xr:uid="{139BC8C7-9161-4D17-99F5-2D80BF02F7F9}"/>
    <hyperlink ref="C16" r:id="rId10" display="https://fred.stlouisfed.org/series/ALTSALES" xr:uid="{F33DA1B2-AAFA-4845-8CC0-5DE942B742E3}"/>
    <hyperlink ref="C17" r:id="rId11" display="https://fred.stlouisfed.org/series/AISRSA" xr:uid="{0843CAB5-9C27-4072-B971-F4A70D6559B3}"/>
    <hyperlink ref="C18" r:id="rId12" display="https://fred.stlouisfed.org/series/DAUTOSAAR" xr:uid="{1F92D617-8292-4909-BF66-E4BD0DB6133F}"/>
    <hyperlink ref="C19" r:id="rId13" display="https://fred.stlouisfed.org/series/DAUPSA" xr:uid="{EE77DFE7-5E31-459C-BC60-9D0B3AD7F5D5}"/>
    <hyperlink ref="C23" r:id="rId14" display="https://fred.stlouisfed.org/series/UNEMPLOY" xr:uid="{6266912A-42AC-4CBA-B3CD-C1CDAC17CFE9}"/>
    <hyperlink ref="C24" r:id="rId15" display="https://fred.stlouisfed.org/series/UNRATE" xr:uid="{96C6E56E-AF9E-4877-A4FC-0C26CFC72E75}"/>
    <hyperlink ref="C25" r:id="rId16" display="https://fred.stlouisfed.org/series/AWHNONAG" xr:uid="{F8516F14-E4F5-4E84-832E-1BAB88224499}"/>
    <hyperlink ref="C26" r:id="rId17" display="https://fred.stlouisfed.org/series/CLF16OV" xr:uid="{C7C53EED-01CC-4E0F-B826-18D2E72C7C43}"/>
    <hyperlink ref="C29" r:id="rId18" display="https://fred.stlouisfed.org/series/INDPRO" xr:uid="{50000973-2657-44ED-ADD7-4F44C60E9090}"/>
    <hyperlink ref="C30" r:id="rId19" display="https://fred.stlouisfed.org/series/TCU" xr:uid="{7BD88681-D8E9-4395-A46C-921E02DC31DF}"/>
    <hyperlink ref="C31" r:id="rId20" display="https://fred.stlouisfed.org/series/AMTMNO" xr:uid="{246459E9-4285-4263-B573-C04A15D4E8BF}"/>
    <hyperlink ref="C32" r:id="rId21" display="https://fred.stlouisfed.org/series/DGORDER" xr:uid="{B2061674-FCDD-4B37-990E-5FCCED205566}"/>
    <hyperlink ref="C33" r:id="rId22" display="https://fred.stlouisfed.org/series/ANXAVS" xr:uid="{434CD114-F28A-4662-8606-D3F53E2A1024}"/>
    <hyperlink ref="C36" r:id="rId23" display="https://fred.stlouisfed.org/series/BUSINV" xr:uid="{154D4A32-D4E5-41AE-9922-F28417F4B7E8}"/>
    <hyperlink ref="C37" r:id="rId24" display="https://fred.stlouisfed.org/series/ISRATIO" xr:uid="{609177F5-080F-4359-8C8C-19B9D28EFA83}"/>
    <hyperlink ref="C38" r:id="rId25" display="https://fred.stlouisfed.org/series/RETAILMPCIMSA" xr:uid="{DC62A237-E413-4DF9-80D7-F63EDB0CBCA2}"/>
    <hyperlink ref="C39" r:id="rId26" display="https://fred.stlouisfed.org/series/ACNGTI" xr:uid="{E8394408-084D-4C8E-9ADC-B62A43BE0958}"/>
    <hyperlink ref="C42" r:id="rId27" display="https://fred.stlouisfed.org/series/CPIAUCSL" xr:uid="{1BDCD875-0F65-4FB1-BA27-2DD9C768A51D}"/>
    <hyperlink ref="C43" r:id="rId28" display="https://fred.stlouisfed.org/series/CPIFABSL" xr:uid="{E330F683-B77C-4D27-96D6-943D06169D3B}"/>
    <hyperlink ref="C44" r:id="rId29" display="https://fred.stlouisfed.org/series/CPIENGSL" xr:uid="{B4E2E4B5-1845-4FAF-AAB0-34F3F4C3B110}"/>
    <hyperlink ref="C45" r:id="rId30" display="https://fred.stlouisfed.org/series/CPILFESL" xr:uid="{EF9BF827-A994-4687-BCB9-473312EC913D}"/>
    <hyperlink ref="C48" r:id="rId31" display="https://fred.stlouisfed.org/series/WPUFD49207" xr:uid="{1DFA1394-4F35-4A0F-B385-64043A53C647}"/>
    <hyperlink ref="C49" r:id="rId32" display="https://fred.stlouisfed.org/series/WPSID61" xr:uid="{03838528-93FF-40E1-999B-37E47623CA18}"/>
    <hyperlink ref="C50" r:id="rId33" display="https://fred.stlouisfed.org/series/PRAWMINDEXM" xr:uid="{43D53A7F-BC76-49F6-BFC5-7C79B3A70D2F}"/>
    <hyperlink ref="C52" r:id="rId34" display="https://fred.stlouisfed.org/series/DCOILWTICO" xr:uid="{952AACD9-35BB-4DE1-9D05-7B45E5A92E2E}"/>
    <hyperlink ref="C53" r:id="rId35" display="https://fred.stlouisfed.org/series/DCOILBRENTEU" xr:uid="{C653765C-D597-4DFA-AE97-6FE69F1A5B27}"/>
    <hyperlink ref="C54" r:id="rId36" display="https://fred.stlouisfed.org/series/DHHNGSP" xr:uid="{07D49DD5-EEF3-4A40-BF53-5C1B5A3D2BE8}"/>
    <hyperlink ref="C58" r:id="rId37" display="https://fred.stlouisfed.org/series/DHHNGSP" xr:uid="{9C287BA8-2D96-496A-850C-CD7AD45481CD}"/>
    <hyperlink ref="C59" r:id="rId38" display="https://fred.stlouisfed.org/series/PI" xr:uid="{F85A1B0F-870D-4ED6-BC0E-C4AD023E356E}"/>
    <hyperlink ref="C60" r:id="rId39" display="https://fred.stlouisfed.org/series/DSPI" xr:uid="{D60A092A-B1D0-478F-98B4-90DD8B178993}"/>
    <hyperlink ref="C61" r:id="rId40" display="https://fred.stlouisfed.org/series/A229RX0" xr:uid="{043B04CF-3959-4046-9155-503ECE7E676E}"/>
    <hyperlink ref="C62" r:id="rId41" display="https://fred.stlouisfed.org/series/PSAVERT" xr:uid="{74B3556E-F761-43AC-90DF-7AB3574E99DD}"/>
    <hyperlink ref="C63" r:id="rId42" display="https://fred.stlouisfed.org/series/PCE" xr:uid="{4EBD1E21-845F-4EF0-AF4D-0D619CDFC502}"/>
    <hyperlink ref="C64" r:id="rId43" display="https://fred.stlouisfed.org/series/PCEC96" xr:uid="{1F3E9ED7-B00C-4E65-BCF9-83BE7990FA31}"/>
    <hyperlink ref="C65" r:id="rId44" display="https://fred.stlouisfed.org/series/MRTSMPCSM44X72USS" xr:uid="{34F40019-E70C-4E5C-A574-6E30E14D9527}"/>
    <hyperlink ref="C66" r:id="rId45" display="https://fred.stlouisfed.org/series/TOTALSL" xr:uid="{4165F371-1EF3-4F31-9B75-688B1FE4E517}"/>
    <hyperlink ref="C67" r:id="rId46" display="https://fred.stlouisfed.org/series/PCEND" xr:uid="{F00D2CD2-09EF-4DF0-8EE0-03D5A1873C1F}"/>
    <hyperlink ref="C68" r:id="rId47" display="https://fred.stlouisfed.org/series/A22BVS" xr:uid="{8505CC01-F8D9-40A3-8900-C486281E38D6}"/>
    <hyperlink ref="C71" r:id="rId48" display="https://fred.stlouisfed.org/series/M1SL" xr:uid="{DFA02BDE-2287-46F5-B484-CBD7AC731E8D}"/>
    <hyperlink ref="C72" r:id="rId49" display="https://fred.stlouisfed.org/series/M2SL" xr:uid="{AE593CD2-F42C-4ECA-8758-77533A2FD06D}"/>
    <hyperlink ref="C74" r:id="rId50" display="https://fred.stlouisfed.org/series/DTB3" xr:uid="{6B5C5A14-BD06-4C5C-B532-FC3C1CB23513}"/>
    <hyperlink ref="C75" r:id="rId51" display="https://fred.stlouisfed.org/series/DPRIME" xr:uid="{BBC3B621-0FD9-444D-917C-6B8827E08D87}"/>
    <hyperlink ref="C76" r:id="rId52" display="https://fred.stlouisfed.org/series/DGS10" xr:uid="{4B605C99-F15D-4B95-BC44-2AD4B77F27C0}"/>
    <hyperlink ref="C79" r:id="rId53" display="https://fred.stlouisfed.org/series/DFII10" xr:uid="{BE5A1664-AC73-4294-B563-E1B6484379C0}"/>
    <hyperlink ref="C80" r:id="rId54" display="https://fred.stlouisfed.org/series/DGS30" xr:uid="{EA7EFB89-CD60-43CE-9A1B-DA523630E840}"/>
    <hyperlink ref="C82" r:id="rId55" display="https://fred.stlouisfed.org/series/DEXUSEU" xr:uid="{74BA8B5C-951F-4E88-AF8E-757F35E9ADA0}"/>
    <hyperlink ref="C83" r:id="rId56" display="https://fred.stlouisfed.org/series/DTWEXBGS" xr:uid="{89E504DB-3E56-442A-B5CD-731AB99B9AAF}"/>
    <hyperlink ref="C87" r:id="rId57" display="https://fred.stlouisfed.org/series/GDPC1" xr:uid="{C51253B3-A0D8-42D5-B0A9-9B236AF51878}"/>
    <hyperlink ref="C88" r:id="rId58" display="https://fred.stlouisfed.org/series/GDP" xr:uid="{F61EBF5D-1D35-4C7F-B7DD-F4E22180EA1D}"/>
    <hyperlink ref="C89" r:id="rId59" display="https://fred.stlouisfed.org/series/PCEDG" xr:uid="{0C33C3D4-6BF0-49EE-9840-096342E7878A}"/>
    <hyperlink ref="C90" r:id="rId60" display="https://fred.stlouisfed.org/series/PNFIC1" xr:uid="{E17B9BAA-55AF-44AD-999C-6E2F638318C5}"/>
    <hyperlink ref="C91" r:id="rId61" display="https://fred.stlouisfed.org/series/PRFIC1" xr:uid="{1F397F03-13A0-4234-B7DF-A9856FE852F1}"/>
    <hyperlink ref="C92" r:id="rId62" display="https://fred.stlouisfed.org/series/CBI" xr:uid="{EA8C5207-20D0-4294-854D-BD1AF13F63E7}"/>
    <hyperlink ref="C93" r:id="rId63" display="https://fred.stlouisfed.org/series/NETEXC" xr:uid="{25128AF0-3989-47DC-B31E-7C7475992BC8}"/>
    <hyperlink ref="C94" r:id="rId64" display="https://fred.stlouisfed.org/series/IEABC" xr:uid="{114F6C0A-8AE8-4FCD-B711-FBDDEE31863F}"/>
    <hyperlink ref="C73" r:id="rId65" display="https://fred.stlouisfed.org/series/BOPGSTB" xr:uid="{23EA62EE-A239-4301-8F93-D1C10847E51A}"/>
    <hyperlink ref="C95" r:id="rId66" display="https://fred.stlouisfed.org/series/GCEC1" xr:uid="{C71B70D7-1468-4A19-AC11-850739D4126C}"/>
    <hyperlink ref="C96" r:id="rId67" display="https://fred.stlouisfed.org/series/EVACANTUSQ176N" xr:uid="{31E07690-7E77-4EB5-BEE0-16336E20CC1E}"/>
    <hyperlink ref="C81" r:id="rId68" display="https://fred.stlouisfed.org/series/DTWEXBGS" xr:uid="{06E0E74A-6FF1-44D2-84D9-66E50E636931}"/>
    <hyperlink ref="C78" r:id="rId69" display="https://fred.stlouisfed.org/series/DTWEXBGS" xr:uid="{2E478C39-076F-4A65-8ADB-9EF5A0A414F1}"/>
    <hyperlink ref="C77" r:id="rId70" display="https://fred.stlouisfed.org/series/DGS10" xr:uid="{7C859AFA-9E1A-4F72-9A98-F107288B5F91}"/>
    <hyperlink ref="C51" r:id="rId71" display="https://fred.stlouisfed.org/series/PRAWMINDEXM" xr:uid="{B5D9B6CC-B1F2-4AB4-B3E3-BAA7E9D706E7}"/>
    <hyperlink ref="C22" r:id="rId72" display="https://fred.stlouisfed.org/series/PAYEMS" xr:uid="{7CCA326E-163D-44DE-B354-4C232F7C5EE1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261004 EconSheet</vt:lpstr>
      <vt:lpstr>'261004 EconSheet'!Conditions</vt:lpstr>
      <vt:lpstr>'261004 EconSheet'!DataTable</vt:lpstr>
      <vt:lpstr>'261004 EconSheet'!DataTableStart</vt:lpstr>
      <vt:lpstr>'261004 EconSheet'!DatesAndSeries</vt:lpstr>
      <vt:lpstr>'261004 EconSheet'!DatesCol</vt:lpstr>
      <vt:lpstr>'261004 EconSheet'!ESSeries</vt:lpstr>
      <vt:lpstr>'261004 EconSheet'!FormatTable</vt:lpstr>
      <vt:lpstr>'261004 EconSheet'!Print_Area</vt:lpstr>
      <vt:lpstr>'261004 EconSheet'!SpFormat1</vt:lpstr>
      <vt:lpstr>'261004 EconSheet'!SpFormat2</vt:lpstr>
      <vt:lpstr>'261004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2026-10-04T19:14:34Z</dcterms:created>
  <dcterms:modified xsi:type="dcterms:W3CDTF">2026-10-04T19:14:36Z</dcterms:modified>
</cp:coreProperties>
</file>