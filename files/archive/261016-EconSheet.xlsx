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40A155C1-B606-4BD7-A082-15B1842CB866}" xr6:coauthVersionLast="47" xr6:coauthVersionMax="47" xr10:uidLastSave="{00000000-0000-0000-0000-000000000000}"/>
  <bookViews>
    <workbookView xWindow="-28920" yWindow="5295" windowWidth="29040" windowHeight="15720" xr2:uid="{AFA123A0-8550-40FB-95F4-DD256DF0E98B}"/>
  </bookViews>
  <sheets>
    <sheet name="261016 EconSheet" sheetId="1" r:id="rId1"/>
  </sheets>
  <externalReferences>
    <externalReference r:id="rId2"/>
  </externalReferences>
  <definedNames>
    <definedName name="_xlnm._FilterDatabase" localSheetId="0" hidden="1">'261016 EconSheet'!$A$28:$AF$33</definedName>
    <definedName name="Conditions" localSheetId="0">'261016 EconSheet'!$AH$3:$AH$96</definedName>
    <definedName name="CurrDates">[1]Currencies!$A$8:$A$14337</definedName>
    <definedName name="DataStart">'[1]Retrieved Data'!$A$1</definedName>
    <definedName name="DataTable" localSheetId="0">'261016 EconSheet'!$G$4:$AD$96</definedName>
    <definedName name="DataTableStart" localSheetId="0">'261016 EconSheet'!$G$4</definedName>
    <definedName name="DatesAndSeries" localSheetId="0">'261016 EconSheet'!$E$4:$F$96</definedName>
    <definedName name="DatesAndSeries">[1]EconSheet!$E$4:$F$96</definedName>
    <definedName name="DatesCol" localSheetId="0">'261016 EconSheet'!$E$4:$E$96</definedName>
    <definedName name="DatesCol">[1]EconSheet!$E$4:$E$96</definedName>
    <definedName name="ESSeries" localSheetId="0">'261016 EconSheet'!$B$4:$B$103</definedName>
    <definedName name="ForceAll" localSheetId="0">'261016 EconSheet'!#REF!</definedName>
    <definedName name="FormatOptions">[1]Calculations!$U$3:$U$14</definedName>
    <definedName name="FormatTable" localSheetId="0">'261016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'261016 EconSheet'!$F$1:$AD$54,'261016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'261016 EconSheet'!$AH$131</definedName>
    <definedName name="SpFormat2" localSheetId="0">'261016 EconSheet'!$AH$136</definedName>
    <definedName name="TrueFalse" localSheetId="0">'261016 EconSheet'!#REF!</definedName>
    <definedName name="TrueFalse">[1]EconSheet!$AU$1:$AU$2</definedName>
    <definedName name="WholeTable" localSheetId="0">'261016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D13" authorId="0" shapeId="0" xr:uid="{AACE8B5E-70C0-44D8-AADB-034DF6FD0328}">
      <text>
        <r>
          <rPr>
            <sz val="9"/>
            <color indexed="81"/>
            <rFont val="Tahoma"/>
            <family val="2"/>
          </rPr>
          <t>New Value</t>
        </r>
      </text>
    </comment>
    <comment ref="H36" authorId="0" shapeId="0" xr:uid="{6917E528-D49F-4EF6-9728-74582F40C3B4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I36" authorId="0" shapeId="0" xr:uid="{C0F198E9-75F1-43FE-AA99-DE9DD947E22F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J36" authorId="0" shapeId="0" xr:uid="{57DC5E10-9ED6-4369-BD33-E62A20EAFD79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K36" authorId="0" shapeId="0" xr:uid="{513EE235-028E-48A6-BFB9-03EA8C6AB9AC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L36" authorId="0" shapeId="0" xr:uid="{127ECCE7-D62D-4963-B3CE-880AE0C69427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M36" authorId="0" shapeId="0" xr:uid="{05C80877-DA46-49D8-8EF9-E101868E5D07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N36" authorId="0" shapeId="0" xr:uid="{B5BB57D2-6D76-47E5-8899-57806A92446A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O36" authorId="0" shapeId="0" xr:uid="{A037C7BC-DDBD-4796-A448-42A0E3F3A22E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P36" authorId="0" shapeId="0" xr:uid="{957D1557-FA7A-4C4D-94A4-C45E1A4F47F9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Q36" authorId="0" shapeId="0" xr:uid="{D1ACFCDB-1DC6-4AAE-A4A1-121672730AD6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R36" authorId="0" shapeId="0" xr:uid="{39758CA3-A332-428E-916A-A98CA7445A13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S36" authorId="0" shapeId="0" xr:uid="{F9A7531A-4B21-4F46-B311-E86CEF315E51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T36" authorId="0" shapeId="0" xr:uid="{33C14ACE-D84F-4554-AC99-A28475049079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U36" authorId="0" shapeId="0" xr:uid="{289A127F-2EC7-4418-9B11-15A60047C25C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V36" authorId="0" shapeId="0" xr:uid="{BD963C80-441A-4B2A-B2C9-409BEB3CA716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W36" authorId="0" shapeId="0" xr:uid="{F6A29DE3-82B4-489F-BDF1-D41946BBD3E3}">
      <text>
        <r>
          <rPr>
            <sz val="9"/>
            <color indexed="81"/>
            <rFont val="Tahoma"/>
            <family val="2"/>
          </rPr>
          <t>Previous Value:
1.0</t>
        </r>
      </text>
    </comment>
    <comment ref="X36" authorId="0" shapeId="0" xr:uid="{879E304A-8C5E-4069-8B66-75B944FEE459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Y36" authorId="0" shapeId="0" xr:uid="{CC92B3B2-2210-4C04-81C1-D873D27FB72E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Z36" authorId="0" shapeId="0" xr:uid="{CA83DBC6-CDCD-456F-9B02-F3F7D229656A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A36" authorId="0" shapeId="0" xr:uid="{C15BA281-2789-4865-8555-E9FECAD6960A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AB36" authorId="0" shapeId="0" xr:uid="{832115A4-604B-42C0-8480-B65DC7D376C6}">
      <text>
        <r>
          <rPr>
            <sz val="9"/>
            <color indexed="81"/>
            <rFont val="Tahoma"/>
            <family val="2"/>
          </rPr>
          <t>New Value</t>
        </r>
      </text>
    </comment>
    <comment ref="H37" authorId="0" shapeId="0" xr:uid="{D2192B0B-EA69-40F7-86F6-3ED03A71E3ED}">
      <text>
        <r>
          <rPr>
            <sz val="9"/>
            <color indexed="81"/>
            <rFont val="Tahoma"/>
            <family val="2"/>
          </rPr>
          <t>Previous Value:
1.39</t>
        </r>
      </text>
    </comment>
    <comment ref="I37" authorId="0" shapeId="0" xr:uid="{037072A4-B7EC-4043-B806-AB68CE845B61}">
      <text>
        <r>
          <rPr>
            <sz val="9"/>
            <color indexed="81"/>
            <rFont val="Tahoma"/>
            <family val="2"/>
          </rPr>
          <t>Previous Value:
1.40</t>
        </r>
      </text>
    </comment>
    <comment ref="J37" authorId="0" shapeId="0" xr:uid="{03F128C3-814A-46AE-B812-E11EA9150859}">
      <text>
        <r>
          <rPr>
            <sz val="9"/>
            <color indexed="81"/>
            <rFont val="Tahoma"/>
            <family val="2"/>
          </rPr>
          <t>Previous Value:
1.39</t>
        </r>
      </text>
    </comment>
    <comment ref="K37" authorId="0" shapeId="0" xr:uid="{0257BA0E-A54E-480A-B23F-D3815229F6DB}">
      <text>
        <r>
          <rPr>
            <sz val="9"/>
            <color indexed="81"/>
            <rFont val="Tahoma"/>
            <family val="2"/>
          </rPr>
          <t>Previous Value:
1.38</t>
        </r>
      </text>
    </comment>
    <comment ref="L37" authorId="0" shapeId="0" xr:uid="{0E8D9DFD-3F3E-4184-AFEA-8DBCC7B270FB}">
      <text>
        <r>
          <rPr>
            <sz val="9"/>
            <color indexed="81"/>
            <rFont val="Tahoma"/>
            <family val="2"/>
          </rPr>
          <t>Previous Value:
1.38</t>
        </r>
      </text>
    </comment>
    <comment ref="M37" authorId="0" shapeId="0" xr:uid="{D3F498B0-76F8-4401-AB19-AD484DD2A81F}">
      <text>
        <r>
          <rPr>
            <sz val="9"/>
            <color indexed="81"/>
            <rFont val="Tahoma"/>
            <family val="2"/>
          </rPr>
          <t>Previous Value:
1.39</t>
        </r>
      </text>
    </comment>
    <comment ref="N37" authorId="0" shapeId="0" xr:uid="{10F49DD7-2949-4403-B674-600FD378B5D2}">
      <text>
        <r>
          <rPr>
            <sz val="9"/>
            <color indexed="81"/>
            <rFont val="Tahoma"/>
            <family val="2"/>
          </rPr>
          <t>Previous Value:
1.39</t>
        </r>
      </text>
    </comment>
    <comment ref="O37" authorId="0" shapeId="0" xr:uid="{431D624E-607D-4D16-B873-4B34525D5B60}">
      <text>
        <r>
          <rPr>
            <sz val="9"/>
            <color indexed="81"/>
            <rFont val="Tahoma"/>
            <family val="2"/>
          </rPr>
          <t>Previous Value:
1.37</t>
        </r>
      </text>
    </comment>
    <comment ref="P37" authorId="0" shapeId="0" xr:uid="{C60A3608-179E-4B18-948A-8E93EF2B9AFE}">
      <text>
        <r>
          <rPr>
            <sz val="9"/>
            <color indexed="81"/>
            <rFont val="Tahoma"/>
            <family val="2"/>
          </rPr>
          <t>Previous Value:
1.37</t>
        </r>
      </text>
    </comment>
    <comment ref="Q37" authorId="0" shapeId="0" xr:uid="{1C12A93B-72E0-4B41-B7F6-3CF045ACBD58}">
      <text>
        <r>
          <rPr>
            <sz val="9"/>
            <color indexed="81"/>
            <rFont val="Tahoma"/>
            <family val="2"/>
          </rPr>
          <t>Previous Value:
1.37</t>
        </r>
      </text>
    </comment>
    <comment ref="R37" authorId="0" shapeId="0" xr:uid="{1537E8A0-204F-4F2A-B574-EFF1635A55EE}">
      <text>
        <r>
          <rPr>
            <sz val="9"/>
            <color indexed="81"/>
            <rFont val="Tahoma"/>
            <family val="2"/>
          </rPr>
          <t>Previous Value:
1.38</t>
        </r>
      </text>
    </comment>
    <comment ref="S37" authorId="0" shapeId="0" xr:uid="{6FF0F7B4-0122-477A-9F5B-65B7F550E356}">
      <text>
        <r>
          <rPr>
            <sz val="9"/>
            <color indexed="81"/>
            <rFont val="Tahoma"/>
            <family val="2"/>
          </rPr>
          <t>Previous Value:
1.37</t>
        </r>
      </text>
    </comment>
    <comment ref="T37" authorId="0" shapeId="0" xr:uid="{21B040A0-E1EA-46CE-A553-8CF0699A0421}">
      <text>
        <r>
          <rPr>
            <sz val="9"/>
            <color indexed="81"/>
            <rFont val="Tahoma"/>
            <family val="2"/>
          </rPr>
          <t>Previous Value:
1.36</t>
        </r>
      </text>
    </comment>
    <comment ref="U37" authorId="0" shapeId="0" xr:uid="{743BA0E1-A864-4A40-8C5D-EAC5F9AD64C1}">
      <text>
        <r>
          <rPr>
            <sz val="9"/>
            <color indexed="81"/>
            <rFont val="Tahoma"/>
            <family val="2"/>
          </rPr>
          <t>Previous Value:
1.35</t>
        </r>
      </text>
    </comment>
    <comment ref="V37" authorId="0" shapeId="0" xr:uid="{4B4BDC34-C11B-47CC-A85C-2695C5D5AFC7}">
      <text>
        <r>
          <rPr>
            <sz val="9"/>
            <color indexed="81"/>
            <rFont val="Tahoma"/>
            <family val="2"/>
          </rPr>
          <t>Previous Value:
1.33</t>
        </r>
      </text>
    </comment>
    <comment ref="W37" authorId="0" shapeId="0" xr:uid="{443EEB95-7EE1-4EC4-B4A6-EC67F3DEB2FC}">
      <text>
        <r>
          <rPr>
            <sz val="9"/>
            <color indexed="81"/>
            <rFont val="Tahoma"/>
            <family val="2"/>
          </rPr>
          <t>Previous Value:
1.32</t>
        </r>
      </text>
    </comment>
    <comment ref="X37" authorId="0" shapeId="0" xr:uid="{E26CF813-0044-4E92-8741-BB3A68EEB645}">
      <text>
        <r>
          <rPr>
            <sz val="9"/>
            <color indexed="81"/>
            <rFont val="Tahoma"/>
            <family val="2"/>
          </rPr>
          <t>Previous Value:
1.30</t>
        </r>
      </text>
    </comment>
    <comment ref="Y37" authorId="0" shapeId="0" xr:uid="{8D239474-90C3-4950-A8D1-2142D52BDC82}">
      <text>
        <r>
          <rPr>
            <sz val="9"/>
            <color indexed="81"/>
            <rFont val="Tahoma"/>
            <family val="2"/>
          </rPr>
          <t>Previous Value:
1.28</t>
        </r>
      </text>
    </comment>
    <comment ref="Z37" authorId="0" shapeId="0" xr:uid="{6417D85E-E342-4429-A1EE-BCF639AA6C7D}">
      <text>
        <r>
          <rPr>
            <sz val="9"/>
            <color indexed="81"/>
            <rFont val="Tahoma"/>
            <family val="2"/>
          </rPr>
          <t>Previous Value:
1.30</t>
        </r>
      </text>
    </comment>
    <comment ref="AA37" authorId="0" shapeId="0" xr:uid="{8D51EDB3-4681-4643-A12C-35E110C98DCF}">
      <text>
        <r>
          <rPr>
            <sz val="9"/>
            <color indexed="81"/>
            <rFont val="Tahoma"/>
            <family val="2"/>
          </rPr>
          <t>Previous Value:
1.30</t>
        </r>
      </text>
    </comment>
    <comment ref="AB37" authorId="0" shapeId="0" xr:uid="{7576C52B-77CF-4019-898B-05CD58B26622}">
      <text>
        <r>
          <rPr>
            <sz val="9"/>
            <color indexed="81"/>
            <rFont val="Tahoma"/>
            <family val="2"/>
          </rPr>
          <t>New Value</t>
        </r>
      </text>
    </comment>
    <comment ref="I38" authorId="0" shapeId="0" xr:uid="{99F15BC6-7299-4134-A9C6-2364C6ED32BD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K38" authorId="0" shapeId="0" xr:uid="{186AB709-824B-48ED-816F-918324A87CEE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L38" authorId="0" shapeId="0" xr:uid="{1236DF39-6435-49D9-BF26-34CB7B6D9BF0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M38" authorId="0" shapeId="0" xr:uid="{18BCEB68-3721-40E5-9B7A-21234FE583D5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P38" authorId="0" shapeId="0" xr:uid="{6394CABC-E682-4E67-A5EA-A7C043D3A852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Q38" authorId="0" shapeId="0" xr:uid="{E01A061D-F9A0-46D3-819D-D6E6ABA2E167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R38" authorId="0" shapeId="0" xr:uid="{57C052CE-5250-44F4-B0D4-912B2AE546F7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S38" authorId="0" shapeId="0" xr:uid="{742D2B0A-BB49-4750-B77B-1DD0F08A9372}">
      <text>
        <r>
          <rPr>
            <sz val="9"/>
            <color indexed="81"/>
            <rFont val="Tahoma"/>
            <family val="2"/>
          </rPr>
          <t>Previous Value:
-0.4</t>
        </r>
      </text>
    </comment>
    <comment ref="T38" authorId="0" shapeId="0" xr:uid="{60332EB0-36D2-4B47-B2D3-7EB79AAEA8A1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V38" authorId="0" shapeId="0" xr:uid="{17CC143E-9ACF-41A2-AD46-3E9A9665D9BF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W38" authorId="0" shapeId="0" xr:uid="{F4C03697-BD67-4D96-ACD4-652F9E075838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Y38" authorId="0" shapeId="0" xr:uid="{EFC18014-E2D9-4A46-ADB1-C09044D12EFB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AA38" authorId="0" shapeId="0" xr:uid="{D20096C7-17A0-4FE6-8FEB-C3CF752E1A86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AB38" authorId="0" shapeId="0" xr:uid="{A17FEAF0-576B-4704-BB31-39C1E7C57079}">
      <text>
        <r>
          <rPr>
            <sz val="9"/>
            <color indexed="81"/>
            <rFont val="Tahoma"/>
            <family val="2"/>
          </rPr>
          <t>New Value</t>
        </r>
      </text>
    </comment>
    <comment ref="Y48" authorId="0" shapeId="0" xr:uid="{C9CB00F2-B023-4207-B2E5-5F7B0D141779}">
      <text>
        <r>
          <rPr>
            <sz val="9"/>
            <color indexed="81"/>
            <rFont val="Tahoma"/>
            <family val="2"/>
          </rPr>
          <t>Previous Value:
8.7</t>
        </r>
      </text>
    </comment>
    <comment ref="Z48" authorId="0" shapeId="0" xr:uid="{E0603812-86A7-4C25-A598-6DF13D2F4081}">
      <text>
        <r>
          <rPr>
            <sz val="9"/>
            <color indexed="81"/>
            <rFont val="Tahoma"/>
            <family val="2"/>
          </rPr>
          <t>Previous Value:
6.6</t>
        </r>
      </text>
    </comment>
    <comment ref="AA48" authorId="0" shapeId="0" xr:uid="{C75981D3-6DFF-4682-8CF0-64203EC25362}">
      <text>
        <r>
          <rPr>
            <sz val="9"/>
            <color indexed="81"/>
            <rFont val="Tahoma"/>
            <family val="2"/>
          </rPr>
          <t>Previous Value:
5.8</t>
        </r>
      </text>
    </comment>
    <comment ref="AB48" authorId="0" shapeId="0" xr:uid="{59F993D5-AC55-4818-8B67-99C3249ACFF2}">
      <text>
        <r>
          <rPr>
            <sz val="9"/>
            <color indexed="81"/>
            <rFont val="Tahoma"/>
            <family val="2"/>
          </rPr>
          <t>Previous Value:
6.6</t>
        </r>
      </text>
    </comment>
    <comment ref="AC48" authorId="0" shapeId="0" xr:uid="{F9778AB6-F88F-4BF0-B429-E4BB0B2EFC34}">
      <text>
        <r>
          <rPr>
            <sz val="9"/>
            <color indexed="81"/>
            <rFont val="Tahoma"/>
            <family val="2"/>
          </rPr>
          <t>New Value</t>
        </r>
      </text>
    </comment>
    <comment ref="Y49" authorId="0" shapeId="0" xr:uid="{F7F4C09C-B333-4F26-97CB-C695DDEADAA2}">
      <text>
        <r>
          <rPr>
            <sz val="9"/>
            <color indexed="81"/>
            <rFont val="Tahoma"/>
            <family val="2"/>
          </rPr>
          <t>Previous Value:
12.2</t>
        </r>
      </text>
    </comment>
    <comment ref="Z49" authorId="0" shapeId="0" xr:uid="{4213F7D0-C9F7-4BA4-901D-37B1EFA0D343}">
      <text>
        <r>
          <rPr>
            <sz val="9"/>
            <color indexed="81"/>
            <rFont val="Tahoma"/>
            <family val="2"/>
          </rPr>
          <t>Previous Value:
11.1</t>
        </r>
      </text>
    </comment>
    <comment ref="AA49" authorId="0" shapeId="0" xr:uid="{40736EED-DD2D-4340-A2C7-450736A7A834}">
      <text>
        <r>
          <rPr>
            <sz val="9"/>
            <color indexed="81"/>
            <rFont val="Tahoma"/>
            <family val="2"/>
          </rPr>
          <t>Previous Value:
10.0</t>
        </r>
      </text>
    </comment>
    <comment ref="AB49" authorId="0" shapeId="0" xr:uid="{713E6D77-2F30-4326-8BC7-5E624C1F0DAD}">
      <text>
        <r>
          <rPr>
            <sz val="9"/>
            <color indexed="81"/>
            <rFont val="Tahoma"/>
            <family val="2"/>
          </rPr>
          <t>Previous Value:
11.5</t>
        </r>
      </text>
    </comment>
    <comment ref="AC49" authorId="0" shapeId="0" xr:uid="{4DBFD375-9FE4-4332-A1B9-0119BB6735B4}">
      <text>
        <r>
          <rPr>
            <sz val="9"/>
            <color indexed="81"/>
            <rFont val="Tahoma"/>
            <family val="2"/>
          </rPr>
          <t>New Value</t>
        </r>
      </text>
    </comment>
    <comment ref="Y50" authorId="0" shapeId="0" xr:uid="{EF359A2D-559B-4CC4-9311-73A03D2B991B}">
      <text>
        <r>
          <rPr>
            <sz val="9"/>
            <color indexed="81"/>
            <rFont val="Tahoma"/>
            <family val="2"/>
          </rPr>
          <t>Previous Value:
20.7</t>
        </r>
      </text>
    </comment>
    <comment ref="Z50" authorId="0" shapeId="0" xr:uid="{6A5CB423-8F67-44D0-B328-4E40D22DC390}">
      <text>
        <r>
          <rPr>
            <sz val="9"/>
            <color indexed="81"/>
            <rFont val="Tahoma"/>
            <family val="2"/>
          </rPr>
          <t>Previous Value:
10.4</t>
        </r>
      </text>
    </comment>
    <comment ref="AA50" authorId="0" shapeId="0" xr:uid="{39BF0F61-4F59-4EB2-B162-D0287232A3B4}">
      <text>
        <r>
          <rPr>
            <sz val="9"/>
            <color indexed="81"/>
            <rFont val="Tahoma"/>
            <family val="2"/>
          </rPr>
          <t>Previous Value:
9.8</t>
        </r>
      </text>
    </comment>
    <comment ref="AB50" authorId="0" shapeId="0" xr:uid="{1C1F565A-1A95-403C-AA9F-B3DAE5213957}">
      <text>
        <r>
          <rPr>
            <sz val="9"/>
            <color indexed="81"/>
            <rFont val="Tahoma"/>
            <family val="2"/>
          </rPr>
          <t>Previous Value:
13.1</t>
        </r>
      </text>
    </comment>
    <comment ref="AC50" authorId="0" shapeId="0" xr:uid="{325D045D-8989-4827-9A26-CA944163C091}">
      <text>
        <r>
          <rPr>
            <sz val="9"/>
            <color indexed="81"/>
            <rFont val="Tahoma"/>
            <family val="2"/>
          </rPr>
          <t>New Value</t>
        </r>
      </text>
    </comment>
    <comment ref="H65" authorId="0" shapeId="0" xr:uid="{32B97E2B-BEDE-4867-B932-06CC3838DAAD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I65" authorId="0" shapeId="0" xr:uid="{3F0EA7F7-2F8D-4F32-8976-20241A5A5171}">
      <text>
        <r>
          <rPr>
            <sz val="9"/>
            <color indexed="81"/>
            <rFont val="Tahoma"/>
            <family val="2"/>
          </rPr>
          <t>Previous Value:
-0.8</t>
        </r>
      </text>
    </comment>
    <comment ref="J65" authorId="0" shapeId="0" xr:uid="{6820366A-83C1-4302-9A51-DF00743153FC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K65" authorId="0" shapeId="0" xr:uid="{4D4B9020-57D6-44BC-B39A-616D7553308D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L65" authorId="0" shapeId="0" xr:uid="{A0D736A2-9F7A-4EA9-8087-749B726D5B45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M65" authorId="0" shapeId="0" xr:uid="{18491495-C5B1-41F9-B207-2A8B1B70BCC6}">
      <text>
        <r>
          <rPr>
            <sz val="9"/>
            <color indexed="81"/>
            <rFont val="Tahoma"/>
            <family val="2"/>
          </rPr>
          <t>Previous Value:
-1.1</t>
        </r>
      </text>
    </comment>
    <comment ref="N65" authorId="0" shapeId="0" xr:uid="{60757197-6144-47C3-BF95-2AD7364A2098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O65" authorId="0" shapeId="0" xr:uid="{65377BAE-CB77-4E46-A648-AEE55EC000CD}">
      <text>
        <r>
          <rPr>
            <sz val="9"/>
            <color indexed="81"/>
            <rFont val="Tahoma"/>
            <family val="2"/>
          </rPr>
          <t>Previous Value:
1.2</t>
        </r>
      </text>
    </comment>
    <comment ref="Q65" authorId="0" shapeId="0" xr:uid="{8EA7DEDE-9B48-48EA-B094-F6685A4B8605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R65" authorId="0" shapeId="0" xr:uid="{1E1E9973-5165-40F8-BEF1-637332591B00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S65" authorId="0" shapeId="0" xr:uid="{D28B73C8-5B8F-48B8-9A0F-016C41594B43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T65" authorId="0" shapeId="0" xr:uid="{B22790C3-EF5F-414C-8CEA-98ABC5D72363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U65" authorId="0" shapeId="0" xr:uid="{D0534125-06FA-41B0-84DC-D649C9355ED4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X65" authorId="0" shapeId="0" xr:uid="{CB6FDFC2-CD46-455F-AA66-F666918946F5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Y65" authorId="0" shapeId="0" xr:uid="{CC86C16B-CD4A-4059-B507-6688AF1688DB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Z65" authorId="0" shapeId="0" xr:uid="{75608576-AF8B-4D34-B45E-01D2BFC679D4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A65" authorId="0" shapeId="0" xr:uid="{6EC52A88-CB1A-4F87-8D66-656324621307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AB65" authorId="0" shapeId="0" xr:uid="{599FEB3C-2645-4ABA-B68A-B4A4C9D94566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<sst xmlns="http://schemas.openxmlformats.org/spreadsheetml/2006/main" count="430" uniqueCount="191">
  <si>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</si>
  <si>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</si>
  <si>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</si>
  <si>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</si>
  <si>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</si>
  <si>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</si>
  <si>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</si>
  <si>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</si>
  <si>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</si>
  <si>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</si>
  <si>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</si>
  <si>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</si>
  <si>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</si>
  <si>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</si>
  <si>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</si>
  <si>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</si>
  <si>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</si>
  <si>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</si>
  <si>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</si>
  <si>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</si>
  <si>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</si>
  <si>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</si>
  <si>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</si>
  <si>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</si>
  <si>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</si>
  <si>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</si>
  <si>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</si>
  <si>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</si>
  <si>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</si>
  <si>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</si>
  <si>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</si>
  <si>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</si>
  <si>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</si>
  <si>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</si>
  <si>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</si>
  <si>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</si>
  <si>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</si>
  <si>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</si>
  <si>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</si>
  <si>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</si>
  <si>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</si>
  <si>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</si>
  <si>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</si>
  <si>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</si>
  <si>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</si>
  <si>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</si>
  <si>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</si>
  <si>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</si>
  <si>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</si>
  <si>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</si>
  <si>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</si>
  <si>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</si>
  <si>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</si>
  <si>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</si>
  <si>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</si>
  <si>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</si>
  <si>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</si>
  <si>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</si>
  <si>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</si>
  <si>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</si>
  <si>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</si>
  <si>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</si>
  <si>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</si>
  <si>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</si>
  <si>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</si>
  <si>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</si>
  <si>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</si>
  <si>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</si>
  <si>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</si>
  <si>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</si>
  <si>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</si>
  <si>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</si>
  <si>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</si>
  <si>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</si>
  <si>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</si>
  <si>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</si>
  <si>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</si>
  <si>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</si>
  <si>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</si>
  <si>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</si>
  <si>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</si>
  <si>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</si>
  <si>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</si>
  <si>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</si>
  <si>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</si>
  <si>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</si>
  <si>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</si>
  <si>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</si>
  <si>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</si>
  <si>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</si>
  <si>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</si>
  <si>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</si>
  <si>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</si>
  <si>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</si>
  <si>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</si>
  <si>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</si>
  <si>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</si>
  <si>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</si>
  <si>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</si>
  <si>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</si>
  <si>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</si>
  <si>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</si>
  <si>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</si>
  <si>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</si>
  <si>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</si>
  <si>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</si>
  <si>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</si>
  <si>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</si>
  <si>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</si>
  <si>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</si>
  <si>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</si>
  <si>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</si>
  <si>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</si>
  <si>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</si>
  <si>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</si>
  <si>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</si>
  <si>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</si>
  <si>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</si>
  <si>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</si>
  <si>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</si>
  <si>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</si>
  <si>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</si>
  <si>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</si>
  <si>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</si>
  <si>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</si>
  <si>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</si>
  <si>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</si>
  <si>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</si>
  <si>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</si>
  <si>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</si>
  <si>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</si>
  <si>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</si>
  <si>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</si>
  <si>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</si>
  <si>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</si>
  <si>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</si>
  <si>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</si>
  <si>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</si>
  <si>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</si>
  <si>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</si>
  <si>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</si>
  <si>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</si>
  <si>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</si>
  <si>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</si>
  <si>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</si>
  <si>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</si>
  <si>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</si>
  <si>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</si>
  <si>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</si>
  <si>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</si>
  <si>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</si>
  <si>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</si>
  <si>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</si>
  <si>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</si>
  <si>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</si>
  <si>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</si>
  <si>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</si>
  <si>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</si>
  <si>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</si>
  <si>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</si>
  <si>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</si>
  <si>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</si>
  <si>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</si>
  <si>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</si>
  <si>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</si>
  <si>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</si>
  <si>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</si>
  <si>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</si>
  <si>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</si>
  <si>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</si>
  <si>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</si>
  <si>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</si>
  <si>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</si>
  <si>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</si>
  <si>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</si>
  <si>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</si>
  <si>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</si>
  <si>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</si>
  <si>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</si>
  <si>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</si>
  <si>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</si>
  <si>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</si>
  <si>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</si>
  <si>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</si>
  <si>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</si>
  <si>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</si>
  <si>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10/16/26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</si>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</sst>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5" fontId="4" fillId="4" borderId="3" xfId="1" applyNumberFormat="1" applyFont="1" applyFill="1" applyBorder="1"/>
    <xf numFmtId="165" fontId="4" fillId="0" borderId="3" xfId="1" applyNumberFormat="1" applyFont="1" applyBorder="1"/>
    <xf numFmtId="165" fontId="4" fillId="0" borderId="4" xfId="1" applyNumberFormat="1" applyFont="1" applyBorder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2" borderId="3" xfId="1" applyNumberFormat="1" applyFont="1" applyFill="1" applyBorder="1"/>
    <xf numFmtId="165" fontId="4" fillId="2" borderId="4" xfId="1" applyNumberFormat="1" applyFont="1" applyFill="1" applyBorder="1"/>
    <xf numFmtId="165" fontId="4" fillId="2" borderId="5" xfId="1" applyNumberFormat="1" applyFont="1" applyFill="1" applyBorder="1"/>
    <xf numFmtId="165" fontId="4" fillId="2" borderId="6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3" borderId="3" xfId="1" applyNumberFormat="1" applyFont="1" applyFill="1" applyBorder="1"/>
    <xf numFmtId="165" fontId="4" fillId="3" borderId="4" xfId="1" applyNumberFormat="1" applyFont="1" applyFill="1" applyBorder="1"/>
    <xf numFmtId="2" fontId="4" fillId="4" borderId="7" xfId="1" applyNumberFormat="1" applyFont="1" applyFill="1" applyBorder="1"/>
    <xf numFmtId="2" fontId="4" fillId="0" borderId="7" xfId="1" applyNumberFormat="1" applyFont="1" applyBorder="1"/>
    <xf numFmtId="2" fontId="4" fillId="0" borderId="3" xfId="1" applyNumberFormat="1" applyFont="1" applyBorder="1"/>
    <xf numFmtId="2" fontId="4" fillId="0" borderId="4" xfId="1" applyNumberFormat="1" applyFont="1" applyBorder="1"/>
    <xf numFmtId="165" fontId="4" fillId="3" borderId="7" xfId="1" applyNumberFormat="1" applyFont="1" applyFill="1" applyBorder="1"/>
    <xf numFmtId="165" fontId="4" fillId="0" borderId="7" xfId="1" applyNumberFormat="1" applyFont="1" applyBorder="1"/>
    <xf numFmtId="165" fontId="4" fillId="0" borderId="8" xfId="1" applyNumberFormat="1" applyFont="1" applyBorder="1"/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2" fontId="4" fillId="2" borderId="4" xfId="1" applyNumberFormat="1" applyFont="1" applyFill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BB3A8590-DB71-4F61-988A-2875B9025D6C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D89AFA7C-43A7-4F53-979C-3295F0AB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58D09224-793C-44CF-B3A1-2A08230B1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46317.501782407402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46343.419027777767</v>
          </cell>
          <cell r="F36" t="str">
            <v>Total Business Inventories (% Δ)</v>
          </cell>
        </row>
        <row r="37">
          <cell r="E37">
            <v>46343.419050925935</v>
          </cell>
          <cell r="F37" t="str">
            <v>Inventory/Sales Ratio</v>
          </cell>
        </row>
        <row r="38">
          <cell r="E38">
            <v>46343.866886574076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46336.380891203706</v>
          </cell>
          <cell r="F42" t="str">
            <v>Consumer Price Index (% Δ YoY)</v>
          </cell>
        </row>
        <row r="43">
          <cell r="E43">
            <v>46336.380891203706</v>
          </cell>
          <cell r="F43" t="str">
            <v>Food (% Δ YoY)</v>
          </cell>
        </row>
        <row r="44">
          <cell r="E44">
            <v>46336.380891203706</v>
          </cell>
          <cell r="F44" t="str">
            <v>Energy (% Δ YoY)</v>
          </cell>
        </row>
        <row r="45">
          <cell r="E45">
            <v>46336.380891203706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46339.431851851841</v>
          </cell>
          <cell r="F48" t="str">
            <v>Finished Goods (% Δ YoY)</v>
          </cell>
        </row>
        <row r="49">
          <cell r="E49">
            <v>46339.431284722232</v>
          </cell>
          <cell r="F49" t="str">
            <v>Processed Goods for Intermediate Demand (% Δ YoY)</v>
          </cell>
        </row>
        <row r="50">
          <cell r="E50">
            <v>46339.431423611109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46316.675405092596</v>
          </cell>
          <cell r="F52" t="str">
            <v>Crude Oil WTI Cushing - Spot USD/BBL Last day of Month</v>
          </cell>
        </row>
        <row r="53">
          <cell r="E53">
            <v>46316.675416666665</v>
          </cell>
          <cell r="F53" t="str">
            <v>Crude Oil Brent - Spot USD/BBL Last day of Month</v>
          </cell>
        </row>
        <row r="54">
          <cell r="E54">
            <v>46316.676724537043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46343.876238425932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46311.678611111114</v>
          </cell>
          <cell r="F74" t="str">
            <v>3-Month Treasury Bills, Secondary market (%)</v>
          </cell>
        </row>
        <row r="75">
          <cell r="E75">
            <v>46311.678460648138</v>
          </cell>
          <cell r="F75" t="str">
            <v>Bank Prime Rate (%)</v>
          </cell>
        </row>
        <row r="76">
          <cell r="E76">
            <v>46311.678576388891</v>
          </cell>
          <cell r="F76" t="str">
            <v>2-yr. Treasury Bond Yield at Constant Maturity (%)</v>
          </cell>
        </row>
        <row r="77">
          <cell r="E77">
            <v>46311.678483796306</v>
          </cell>
          <cell r="F77" t="str">
            <v>10-yr. Treasury Bond Yield at Constant Maturity (%)</v>
          </cell>
        </row>
        <row r="78">
          <cell r="E78">
            <v>46311.710868055554</v>
          </cell>
          <cell r="F78" t="str">
            <v>10 Yr - 2 Yr Treasury Spread - Const Maturity %</v>
          </cell>
        </row>
        <row r="79">
          <cell r="E79">
            <v>46311.678437499999</v>
          </cell>
          <cell r="F79" t="str">
            <v>10-yr. Treasury Bond Yield at Const. Mat. Inflation Indexed (%)</v>
          </cell>
        </row>
        <row r="80">
          <cell r="E80">
            <v>46311.678587962961</v>
          </cell>
          <cell r="F80" t="str">
            <v>30-yr. Treasury Bond Yield at Constant Maturity (%)</v>
          </cell>
        </row>
        <row r="81">
          <cell r="E81">
            <v>46311.710844907415</v>
          </cell>
          <cell r="F81" t="str">
            <v>10 Yr - 3 Month Treasury Spread - Const Maturity %</v>
          </cell>
        </row>
        <row r="82">
          <cell r="E82">
            <v>46314.678506944445</v>
          </cell>
          <cell r="F82" t="str">
            <v>USD/EUR Exchange Rate - Last Day of Month</v>
          </cell>
        </row>
        <row r="83">
          <cell r="E83">
            <v>46314.67859953703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1</v>
          </cell>
          <cell r="D1098">
            <v>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1</v>
          </cell>
          <cell r="D1173">
            <v>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1</v>
          </cell>
          <cell r="D1827">
            <v>0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1</v>
          </cell>
          <cell r="D1828">
            <v>0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1</v>
          </cell>
          <cell r="D1829">
            <v>0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1</v>
          </cell>
          <cell r="D1830">
            <v>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3D8D-162D-4B8C-A27F-1037F2E9F651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84" customFormat="1" ht="15.75" x14ac:dyDescent="0.25">
      <c r="A1" s="86"/>
      <c r="B1" s="86"/>
      <c r="C1" s="86"/>
      <c r="D1" s="37"/>
      <c r="E1" s="37"/>
      <c r="F1" s="86" t="s">
        <v>190</v>
      </c>
      <c r="G1" s="34">
        <v>2024</v>
      </c>
      <c r="H1" s="34" t="s">
        <v>35</v>
      </c>
      <c r="I1" s="34">
        <v>2025</v>
      </c>
      <c r="J1" s="34" t="s">
        <v>35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>
        <v>2026</v>
      </c>
      <c r="V1" s="34" t="s">
        <v>35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84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5">
        <v>45597</v>
      </c>
      <c r="H2" s="85">
        <v>45627</v>
      </c>
      <c r="I2" s="85">
        <v>45658</v>
      </c>
      <c r="J2" s="85">
        <v>45689</v>
      </c>
      <c r="K2" s="85">
        <v>45717</v>
      </c>
      <c r="L2" s="85">
        <v>45748</v>
      </c>
      <c r="M2" s="85">
        <v>45778</v>
      </c>
      <c r="N2" s="85">
        <v>45809</v>
      </c>
      <c r="O2" s="85">
        <v>45839</v>
      </c>
      <c r="P2" s="85">
        <v>45870</v>
      </c>
      <c r="Q2" s="85">
        <v>45901</v>
      </c>
      <c r="R2" s="85">
        <v>45931</v>
      </c>
      <c r="S2" s="85">
        <v>45962</v>
      </c>
      <c r="T2" s="85">
        <v>45992</v>
      </c>
      <c r="U2" s="85">
        <v>46023</v>
      </c>
      <c r="V2" s="85">
        <v>46054</v>
      </c>
      <c r="W2" s="85">
        <v>46082</v>
      </c>
      <c r="X2" s="85">
        <v>46113</v>
      </c>
      <c r="Y2" s="85">
        <v>46143</v>
      </c>
      <c r="Z2" s="85">
        <v>46174</v>
      </c>
      <c r="AA2" s="85">
        <v>46204</v>
      </c>
      <c r="AB2" s="85">
        <v>46235</v>
      </c>
      <c r="AC2" s="85">
        <v>46266</v>
      </c>
      <c r="AD2" s="85">
        <v>46296</v>
      </c>
      <c r="AH2" s="84" t="s">
        <v>185</v>
      </c>
    </row>
    <row r="3" spans="1:34" ht="15.75" x14ac:dyDescent="0.25">
      <c r="A3" s="10"/>
      <c r="B3" s="10" t="s">
        <v>184</v>
      </c>
      <c r="C3" s="10"/>
      <c r="D3" s="83">
        <v>46310.876238425924</v>
      </c>
      <c r="E3" s="82">
        <v>46311.387928240743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9">
        <v>46328.429432870369</v>
      </c>
      <c r="F4" s="1" t="s">
        <v>181</v>
      </c>
      <c r="G4" s="7">
        <v>-0.1</v>
      </c>
      <c r="H4" s="7">
        <v>-0.2</v>
      </c>
      <c r="I4" s="7">
        <v>0.1</v>
      </c>
      <c r="J4" s="7">
        <v>0.2</v>
      </c>
      <c r="K4" s="7">
        <v>-0.4</v>
      </c>
      <c r="L4" s="7">
        <v>0.3</v>
      </c>
      <c r="M4" s="7">
        <v>-0.9</v>
      </c>
      <c r="N4" s="7">
        <v>-0.3</v>
      </c>
      <c r="O4" s="7">
        <v>0.2</v>
      </c>
      <c r="P4" s="7">
        <v>0</v>
      </c>
      <c r="Q4" s="7">
        <v>0.2</v>
      </c>
      <c r="R4" s="7">
        <v>-0.2</v>
      </c>
      <c r="S4" s="7">
        <v>-0.9</v>
      </c>
      <c r="T4" s="7">
        <v>-0.2</v>
      </c>
      <c r="U4" s="7">
        <v>-0.9</v>
      </c>
      <c r="V4" s="7">
        <v>-0.3</v>
      </c>
      <c r="W4" s="7">
        <v>0.4</v>
      </c>
      <c r="X4" s="7">
        <v>-1.4</v>
      </c>
      <c r="Y4" s="7">
        <v>0</v>
      </c>
      <c r="Z4" s="7">
        <v>0.9</v>
      </c>
      <c r="AA4" s="7">
        <v>-0.1</v>
      </c>
      <c r="AB4" s="28">
        <v>0.9</v>
      </c>
      <c r="AC4" s="7" t="e">
        <v>#N/A</v>
      </c>
      <c r="AD4" s="7" t="e">
        <v>#N/A</v>
      </c>
      <c r="AE4" s="81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9">
        <v>46328.4294212963</v>
      </c>
      <c r="F5" s="1" t="s">
        <v>179</v>
      </c>
      <c r="G5" s="7">
        <v>-8.4140000000000006E-2</v>
      </c>
      <c r="H5" s="7">
        <v>4.496E-2</v>
      </c>
      <c r="I5" s="7">
        <v>-0.15501000000000001</v>
      </c>
      <c r="J5" s="7">
        <v>0.17183000000000001</v>
      </c>
      <c r="K5" s="7">
        <v>-1.0516700000000001</v>
      </c>
      <c r="L5" s="7">
        <v>0.24995999999999999</v>
      </c>
      <c r="M5" s="7">
        <v>-0.88231999999999999</v>
      </c>
      <c r="N5" s="7">
        <v>-0.11909</v>
      </c>
      <c r="O5" s="7">
        <v>0.33102999999999999</v>
      </c>
      <c r="P5" s="7">
        <v>-4.8059999999999999E-2</v>
      </c>
      <c r="Q5" s="7">
        <v>-0.17682</v>
      </c>
      <c r="R5" s="7">
        <v>-0.34434999999999999</v>
      </c>
      <c r="S5" s="7">
        <v>-1.0820700000000001</v>
      </c>
      <c r="T5" s="7">
        <v>5.9880000000000003E-2</v>
      </c>
      <c r="U5" s="7">
        <v>-1.2097199999999999</v>
      </c>
      <c r="V5" s="7">
        <v>-0.36374000000000001</v>
      </c>
      <c r="W5" s="7">
        <v>0.51851000000000003</v>
      </c>
      <c r="X5" s="7">
        <v>-2.1626500000000002</v>
      </c>
      <c r="Y5" s="7">
        <v>-0.19738</v>
      </c>
      <c r="Z5" s="7">
        <v>1.03593</v>
      </c>
      <c r="AA5" s="7">
        <v>-0.20019000000000001</v>
      </c>
      <c r="AB5" s="28">
        <v>1.0743199999999999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-1.2113700000000001</v>
      </c>
      <c r="H6" s="4">
        <v>0.42931999999999998</v>
      </c>
      <c r="I6" s="4">
        <v>-0.11495</v>
      </c>
      <c r="J6" s="4">
        <v>0.11317000000000001</v>
      </c>
      <c r="K6" s="4">
        <v>-0.78659999999999997</v>
      </c>
      <c r="L6" s="4">
        <v>-0.74739</v>
      </c>
      <c r="M6" s="4">
        <v>4.4920000000000002E-2</v>
      </c>
      <c r="N6" s="4">
        <v>0.73941000000000001</v>
      </c>
      <c r="O6" s="4">
        <v>0.71704999999999997</v>
      </c>
      <c r="P6" s="4">
        <v>8.09E-3</v>
      </c>
      <c r="Q6" s="4">
        <v>0.44753999999999999</v>
      </c>
      <c r="R6" s="4">
        <v>-0.999</v>
      </c>
      <c r="S6" s="4">
        <v>-0.62526000000000004</v>
      </c>
      <c r="T6" s="4">
        <v>1.4496800000000001</v>
      </c>
      <c r="U6" s="4">
        <v>-1.8964799999999999</v>
      </c>
      <c r="V6" s="4">
        <v>-0.52046000000000003</v>
      </c>
      <c r="W6" s="4">
        <v>1.1417299999999999</v>
      </c>
      <c r="X6" s="4">
        <v>-3.8704800000000001</v>
      </c>
      <c r="Y6" s="4">
        <v>-0.77886999999999995</v>
      </c>
      <c r="Z6" s="4">
        <v>0.79468000000000005</v>
      </c>
      <c r="AA6" s="4">
        <v>-1.04358</v>
      </c>
      <c r="AB6" s="29">
        <v>1.0849800000000001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-0.87917999999999996</v>
      </c>
      <c r="H7" s="7">
        <v>-1.8025800000000001</v>
      </c>
      <c r="I7" s="7">
        <v>0.30492999999999998</v>
      </c>
      <c r="J7" s="7">
        <v>0.59179000000000004</v>
      </c>
      <c r="K7" s="7">
        <v>1.4251</v>
      </c>
      <c r="L7" s="7">
        <v>1.788E-2</v>
      </c>
      <c r="M7" s="7">
        <v>-2.5051100000000002</v>
      </c>
      <c r="N7" s="7">
        <v>0.31439</v>
      </c>
      <c r="O7" s="7">
        <v>-1.83443</v>
      </c>
      <c r="P7" s="7">
        <v>0.37304999999999999</v>
      </c>
      <c r="Q7" s="7">
        <v>-0.18137</v>
      </c>
      <c r="R7" s="7">
        <v>-0.92569000000000001</v>
      </c>
      <c r="S7" s="7">
        <v>1.80894</v>
      </c>
      <c r="T7" s="7">
        <v>1.4233499999999999</v>
      </c>
      <c r="U7" s="7">
        <v>0.62163000000000002</v>
      </c>
      <c r="V7" s="7">
        <v>0.37842999999999999</v>
      </c>
      <c r="W7" s="7">
        <v>-0.12322</v>
      </c>
      <c r="X7" s="7">
        <v>1.1210599999999999</v>
      </c>
      <c r="Y7" s="7">
        <v>0.16488</v>
      </c>
      <c r="Z7" s="7">
        <v>7.5060000000000002E-2</v>
      </c>
      <c r="AA7" s="7">
        <v>-9.6060000000000006E-2</v>
      </c>
      <c r="AB7" s="28">
        <v>0.24168999999999999</v>
      </c>
      <c r="AC7" s="7" t="e">
        <v>#N/A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9">
        <v>46322.419212962966</v>
      </c>
      <c r="F8" s="1" t="s">
        <v>173</v>
      </c>
      <c r="G8" s="7">
        <v>5.8544299999999998</v>
      </c>
      <c r="H8" s="7">
        <v>4.9327399999999999</v>
      </c>
      <c r="I8" s="7">
        <v>-5.2706600000000003</v>
      </c>
      <c r="J8" s="7">
        <v>-3.6090200000000001</v>
      </c>
      <c r="K8" s="7">
        <v>2.34009</v>
      </c>
      <c r="L8" s="7">
        <v>6.8597599999999996</v>
      </c>
      <c r="M8" s="7">
        <v>-11.26961</v>
      </c>
      <c r="N8" s="7">
        <v>6.9131799999999997</v>
      </c>
      <c r="O8" s="7">
        <v>-2.5563899999999999</v>
      </c>
      <c r="P8" s="7">
        <v>7.7160500000000001</v>
      </c>
      <c r="Q8" s="7">
        <v>2.2922600000000002</v>
      </c>
      <c r="R8" s="7">
        <v>-8.6834699999999998</v>
      </c>
      <c r="S8" s="7">
        <v>16.104289999999999</v>
      </c>
      <c r="T8" s="7">
        <v>-4.4914100000000001</v>
      </c>
      <c r="U8" s="7">
        <v>-20.331949999999999</v>
      </c>
      <c r="V8" s="7">
        <v>9.375</v>
      </c>
      <c r="W8" s="7">
        <v>4.6031700000000004</v>
      </c>
      <c r="X8" s="7">
        <v>-2.7314099999999999</v>
      </c>
      <c r="Y8" s="7">
        <v>-0.78003</v>
      </c>
      <c r="Z8" s="7">
        <v>5.66038</v>
      </c>
      <c r="AA8" s="7">
        <v>-4.31548</v>
      </c>
      <c r="AB8" s="28">
        <v>6.37636</v>
      </c>
      <c r="AC8" s="7" t="e">
        <v>#N/A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7" t="s">
        <v>171</v>
      </c>
      <c r="G9" s="18">
        <v>1300</v>
      </c>
      <c r="H9" s="18">
        <v>1494</v>
      </c>
      <c r="I9" s="18">
        <v>1353</v>
      </c>
      <c r="J9" s="18">
        <v>1491</v>
      </c>
      <c r="K9" s="18">
        <v>1346</v>
      </c>
      <c r="L9" s="18">
        <v>1400</v>
      </c>
      <c r="M9" s="18">
        <v>1289</v>
      </c>
      <c r="N9" s="18">
        <v>1379</v>
      </c>
      <c r="O9" s="18">
        <v>1432</v>
      </c>
      <c r="P9" s="18">
        <v>1291</v>
      </c>
      <c r="Q9" s="18">
        <v>1319</v>
      </c>
      <c r="R9" s="18">
        <v>1273</v>
      </c>
      <c r="S9" s="18">
        <v>1319</v>
      </c>
      <c r="T9" s="18">
        <v>1378</v>
      </c>
      <c r="U9" s="18">
        <v>1385</v>
      </c>
      <c r="V9" s="18">
        <v>1346</v>
      </c>
      <c r="W9" s="18">
        <v>1522</v>
      </c>
      <c r="X9" s="18">
        <v>1414</v>
      </c>
      <c r="Y9" s="18">
        <v>1182</v>
      </c>
      <c r="Z9" s="18">
        <v>1439</v>
      </c>
      <c r="AA9" s="17">
        <v>1309</v>
      </c>
      <c r="AB9" s="17">
        <v>1275</v>
      </c>
      <c r="AC9" s="18" t="e">
        <v>#N/A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14.923076923076922</v>
      </c>
      <c r="I10" s="7">
        <v>-9.4377510040160644</v>
      </c>
      <c r="J10" s="7">
        <v>10.199556541019955</v>
      </c>
      <c r="K10" s="7">
        <v>-9.7250167672702883</v>
      </c>
      <c r="L10" s="7">
        <v>4.0118870728083209</v>
      </c>
      <c r="M10" s="7">
        <v>-7.9285714285714279</v>
      </c>
      <c r="N10" s="7">
        <v>6.9821567106283942</v>
      </c>
      <c r="O10" s="7">
        <v>3.8433647570703409</v>
      </c>
      <c r="P10" s="7">
        <v>-9.8463687150837984</v>
      </c>
      <c r="Q10" s="7">
        <v>2.1688613477924088</v>
      </c>
      <c r="R10" s="7">
        <v>-3.4874905231235784</v>
      </c>
      <c r="S10" s="7">
        <v>3.6135113904163392</v>
      </c>
      <c r="T10" s="7">
        <v>4.4730856709628508</v>
      </c>
      <c r="U10" s="7">
        <v>0.5079825834542816</v>
      </c>
      <c r="V10" s="7">
        <v>-2.8158844765342961</v>
      </c>
      <c r="W10" s="7">
        <v>13.075780089153048</v>
      </c>
      <c r="X10" s="7">
        <v>-7.0959264126149808</v>
      </c>
      <c r="Y10" s="7">
        <v>-16.407355021216407</v>
      </c>
      <c r="Z10" s="7">
        <v>21.742808798646362</v>
      </c>
      <c r="AA10" s="54">
        <v>-9.0340514246004169</v>
      </c>
      <c r="AB10" s="54">
        <v>-2.5974025974025974</v>
      </c>
      <c r="AC10" s="7" t="e">
        <v>#N/A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8" t="s">
        <v>168</v>
      </c>
      <c r="G11" s="13">
        <v>1436</v>
      </c>
      <c r="H11" s="13">
        <v>1430</v>
      </c>
      <c r="I11" s="13">
        <v>1407</v>
      </c>
      <c r="J11" s="13">
        <v>1409</v>
      </c>
      <c r="K11" s="13">
        <v>1400</v>
      </c>
      <c r="L11" s="13">
        <v>1394</v>
      </c>
      <c r="M11" s="13">
        <v>1363</v>
      </c>
      <c r="N11" s="13">
        <v>1348</v>
      </c>
      <c r="O11" s="13">
        <v>1342</v>
      </c>
      <c r="P11" s="13">
        <v>1313</v>
      </c>
      <c r="Q11" s="13">
        <v>1323</v>
      </c>
      <c r="R11" s="13">
        <v>1312</v>
      </c>
      <c r="S11" s="13">
        <v>1301</v>
      </c>
      <c r="T11" s="13">
        <v>1281</v>
      </c>
      <c r="U11" s="13">
        <v>1270</v>
      </c>
      <c r="V11" s="13">
        <v>1270</v>
      </c>
      <c r="W11" s="13">
        <v>1262</v>
      </c>
      <c r="X11" s="13">
        <v>1268</v>
      </c>
      <c r="Y11" s="13">
        <v>1252</v>
      </c>
      <c r="Z11" s="78">
        <v>1256</v>
      </c>
      <c r="AA11" s="78">
        <v>1267</v>
      </c>
      <c r="AB11" s="78">
        <v>1271</v>
      </c>
      <c r="AC11" s="13" t="e">
        <v>#N/A</v>
      </c>
      <c r="AD11" s="13" t="e">
        <v>#N/A</v>
      </c>
      <c r="AH11" t="s">
        <v>10</v>
      </c>
    </row>
    <row r="12" spans="1:34" ht="16.5" thickBot="1" x14ac:dyDescent="0.3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7" t="s">
        <v>165</v>
      </c>
      <c r="G12" s="4">
        <v>5.36585</v>
      </c>
      <c r="H12" s="4">
        <v>-2.9761899999999999</v>
      </c>
      <c r="I12" s="4">
        <v>-0.27267000000000002</v>
      </c>
      <c r="J12" s="4">
        <v>-1.1619999999999999</v>
      </c>
      <c r="K12" s="4">
        <v>3.18119</v>
      </c>
      <c r="L12" s="4">
        <v>-3.1501299999999999</v>
      </c>
      <c r="M12" s="4">
        <v>-2.00692</v>
      </c>
      <c r="N12" s="4">
        <v>-1.2005600000000001</v>
      </c>
      <c r="O12" s="4">
        <v>7.1480000000000002E-2</v>
      </c>
      <c r="P12" s="4">
        <v>-3.7857099999999999</v>
      </c>
      <c r="Q12" s="4">
        <v>7.2011900000000004</v>
      </c>
      <c r="R12" s="4">
        <v>-1.8005500000000001</v>
      </c>
      <c r="S12" s="4">
        <v>-0.28209000000000001</v>
      </c>
      <c r="T12" s="4">
        <v>4.80905</v>
      </c>
      <c r="U12" s="4">
        <v>-6.0053999999999998</v>
      </c>
      <c r="V12" s="4">
        <v>10.552759999999999</v>
      </c>
      <c r="W12" s="4">
        <v>-11.493510000000001</v>
      </c>
      <c r="X12" s="4">
        <v>4.40205</v>
      </c>
      <c r="Y12" s="4">
        <v>-0.91356000000000004</v>
      </c>
      <c r="Z12" s="4">
        <v>-2.5531899999999998</v>
      </c>
      <c r="AA12" s="4">
        <v>4.2940300000000002</v>
      </c>
      <c r="AB12" s="66">
        <v>-2.0935100000000002</v>
      </c>
      <c r="AC12" s="4" t="e">
        <v>#N/A</v>
      </c>
      <c r="AD12" s="7" t="e">
        <v>#N/A</v>
      </c>
      <c r="AH12" t="s">
        <v>21</v>
      </c>
    </row>
    <row r="13" spans="1:34" ht="17.25" thickTop="1" thickBot="1" x14ac:dyDescent="0.3">
      <c r="A13" s="25">
        <v>13</v>
      </c>
      <c r="B13" s="25" t="s">
        <v>164</v>
      </c>
      <c r="C13" s="16" t="s">
        <v>163</v>
      </c>
      <c r="D13" s="15">
        <v>46310.501782407409</v>
      </c>
      <c r="E13" s="52">
        <v>46317.501782407402</v>
      </c>
      <c r="F13" s="43" t="s">
        <v>162</v>
      </c>
      <c r="G13" s="40">
        <v>6.81</v>
      </c>
      <c r="H13" s="40">
        <v>6.72</v>
      </c>
      <c r="I13" s="40">
        <v>6.96</v>
      </c>
      <c r="J13" s="40">
        <v>6.84</v>
      </c>
      <c r="K13" s="40">
        <v>6.65</v>
      </c>
      <c r="L13" s="40">
        <v>6.73</v>
      </c>
      <c r="M13" s="40">
        <v>6.82</v>
      </c>
      <c r="N13" s="40">
        <v>6.82</v>
      </c>
      <c r="O13" s="40">
        <v>6.72</v>
      </c>
      <c r="P13" s="40">
        <v>6.59</v>
      </c>
      <c r="Q13" s="40">
        <v>6.35</v>
      </c>
      <c r="R13" s="40">
        <v>6.25</v>
      </c>
      <c r="S13" s="40">
        <v>6.24</v>
      </c>
      <c r="T13" s="40">
        <v>6.19</v>
      </c>
      <c r="U13" s="40">
        <v>6.1</v>
      </c>
      <c r="V13" s="40">
        <v>6.05</v>
      </c>
      <c r="W13" s="40">
        <v>6.18</v>
      </c>
      <c r="X13" s="40">
        <v>6.33</v>
      </c>
      <c r="Y13" s="40">
        <v>6.44</v>
      </c>
      <c r="Z13" s="40">
        <v>6.49</v>
      </c>
      <c r="AA13" s="40">
        <v>6.54</v>
      </c>
      <c r="AB13" s="40">
        <v>6.67</v>
      </c>
      <c r="AC13" s="40">
        <v>6.86</v>
      </c>
      <c r="AD13" s="80">
        <v>7.36</v>
      </c>
      <c r="AH13" t="s">
        <v>44</v>
      </c>
    </row>
    <row r="14" spans="1:34" ht="16.5" thickTop="1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79"/>
      <c r="W14" s="79"/>
      <c r="X14" s="79"/>
      <c r="Y14" s="79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9">
        <v>46324.38717592592</v>
      </c>
      <c r="F16" s="1" t="s">
        <v>159</v>
      </c>
      <c r="G16" s="7">
        <v>16.523</v>
      </c>
      <c r="H16" s="7">
        <v>16.812000000000001</v>
      </c>
      <c r="I16" s="7">
        <v>15.845000000000001</v>
      </c>
      <c r="J16" s="7">
        <v>16.027999999999999</v>
      </c>
      <c r="K16" s="7">
        <v>17.731999999999999</v>
      </c>
      <c r="L16" s="7">
        <v>17.068999999999999</v>
      </c>
      <c r="M16" s="7">
        <v>15.71</v>
      </c>
      <c r="N16" s="7">
        <v>15.885999999999999</v>
      </c>
      <c r="O16" s="7">
        <v>16.425000000000001</v>
      </c>
      <c r="P16" s="7">
        <v>16.344999999999999</v>
      </c>
      <c r="Q16" s="7">
        <v>16.574000000000002</v>
      </c>
      <c r="R16" s="7">
        <v>15.679</v>
      </c>
      <c r="S16" s="7">
        <v>15.808999999999999</v>
      </c>
      <c r="T16" s="7">
        <v>16.009</v>
      </c>
      <c r="U16" s="7">
        <v>14.96</v>
      </c>
      <c r="V16" s="7">
        <v>15.551</v>
      </c>
      <c r="W16" s="7">
        <v>16.074000000000002</v>
      </c>
      <c r="X16" s="7">
        <v>16.164999999999999</v>
      </c>
      <c r="Y16" s="7">
        <v>16.437999999999999</v>
      </c>
      <c r="Z16" s="7">
        <v>16.760000000000002</v>
      </c>
      <c r="AA16" s="7">
        <v>16.146000000000001</v>
      </c>
      <c r="AB16" s="28">
        <v>16.568999999999999</v>
      </c>
      <c r="AC16" s="7" t="e">
        <v>#N/A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2">
        <v>1.294</v>
      </c>
      <c r="H17" s="42">
        <v>1.371</v>
      </c>
      <c r="I17" s="42">
        <v>1.3939999999999999</v>
      </c>
      <c r="J17" s="42">
        <v>1.2749999999999999</v>
      </c>
      <c r="K17" s="42">
        <v>1.1319999999999999</v>
      </c>
      <c r="L17" s="42">
        <v>1.232</v>
      </c>
      <c r="M17" s="42">
        <v>1.345</v>
      </c>
      <c r="N17" s="42">
        <v>1.361</v>
      </c>
      <c r="O17" s="42">
        <v>1.4159999999999999</v>
      </c>
      <c r="P17" s="42">
        <v>1.4930000000000001</v>
      </c>
      <c r="Q17" s="42">
        <v>1.4610000000000001</v>
      </c>
      <c r="R17" s="42">
        <v>1.5069999999999999</v>
      </c>
      <c r="S17" s="42">
        <v>1.4590000000000001</v>
      </c>
      <c r="T17" s="42">
        <v>1.2849999999999999</v>
      </c>
      <c r="U17" s="42">
        <v>1.3660000000000001</v>
      </c>
      <c r="V17" s="42">
        <v>1.373</v>
      </c>
      <c r="W17" s="42">
        <v>1.496</v>
      </c>
      <c r="X17" s="42">
        <v>1.3959999999999999</v>
      </c>
      <c r="Y17" s="42">
        <v>1.2889999999999999</v>
      </c>
      <c r="Z17" s="42">
        <v>1.202</v>
      </c>
      <c r="AA17" s="42">
        <v>1.18</v>
      </c>
      <c r="AB17" s="51">
        <v>1.242</v>
      </c>
      <c r="AC17" s="42" t="e">
        <v>#N/A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2.044</v>
      </c>
      <c r="H18" s="4">
        <v>1.885</v>
      </c>
      <c r="I18" s="4">
        <v>1.859</v>
      </c>
      <c r="J18" s="4">
        <v>1.9670000000000001</v>
      </c>
      <c r="K18" s="4">
        <v>2.077</v>
      </c>
      <c r="L18" s="4">
        <v>1.8979999999999999</v>
      </c>
      <c r="M18" s="4">
        <v>1.7509999999999999</v>
      </c>
      <c r="N18" s="4">
        <v>1.774</v>
      </c>
      <c r="O18" s="4">
        <v>1.7549999999999999</v>
      </c>
      <c r="P18" s="4">
        <v>1.7869999999999999</v>
      </c>
      <c r="Q18" s="4">
        <v>1.696</v>
      </c>
      <c r="R18" s="4">
        <v>1.6639999999999999</v>
      </c>
      <c r="S18" s="4">
        <v>1.6379999999999999</v>
      </c>
      <c r="T18" s="4">
        <v>1.788</v>
      </c>
      <c r="U18" s="4">
        <v>1.6339999999999999</v>
      </c>
      <c r="V18" s="4">
        <v>1.6859999999999999</v>
      </c>
      <c r="W18" s="4">
        <v>1.665</v>
      </c>
      <c r="X18" s="4">
        <v>1.804</v>
      </c>
      <c r="Y18" s="4">
        <v>1.86</v>
      </c>
      <c r="Z18" s="4">
        <v>1.867</v>
      </c>
      <c r="AA18" s="66">
        <v>1.837</v>
      </c>
      <c r="AB18" s="66">
        <v>1.8080000000000001</v>
      </c>
      <c r="AC18" s="4" t="e">
        <v>#N/A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116.976</v>
      </c>
      <c r="H19" s="7">
        <v>102.60599999999999</v>
      </c>
      <c r="I19" s="7">
        <v>102.434</v>
      </c>
      <c r="J19" s="7">
        <v>107.753</v>
      </c>
      <c r="K19" s="7">
        <v>111.751</v>
      </c>
      <c r="L19" s="7">
        <v>112.56</v>
      </c>
      <c r="M19" s="7">
        <v>110.762</v>
      </c>
      <c r="N19" s="7">
        <v>113.624</v>
      </c>
      <c r="O19" s="7">
        <v>107.55800000000001</v>
      </c>
      <c r="P19" s="7">
        <v>110.026</v>
      </c>
      <c r="Q19" s="7">
        <v>103.616</v>
      </c>
      <c r="R19" s="7">
        <v>101.44799999999999</v>
      </c>
      <c r="S19" s="7">
        <v>93.799000000000007</v>
      </c>
      <c r="T19" s="7">
        <v>101.742</v>
      </c>
      <c r="U19" s="7">
        <v>95.370999999999995</v>
      </c>
      <c r="V19" s="7">
        <v>94.852999999999994</v>
      </c>
      <c r="W19" s="7">
        <v>105.556</v>
      </c>
      <c r="X19" s="7">
        <v>105.16800000000001</v>
      </c>
      <c r="Y19" s="7">
        <v>106.898</v>
      </c>
      <c r="Z19" s="7">
        <v>108.247</v>
      </c>
      <c r="AA19" s="54">
        <v>100.72499999999999</v>
      </c>
      <c r="AB19" s="54">
        <v>94.197000000000003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9">
        <v>46332.392048611102</v>
      </c>
      <c r="F22" s="1" t="s">
        <v>150</v>
      </c>
      <c r="G22" s="13">
        <v>134</v>
      </c>
      <c r="H22" s="13">
        <v>237</v>
      </c>
      <c r="I22" s="13">
        <v>-48</v>
      </c>
      <c r="J22" s="13">
        <v>42</v>
      </c>
      <c r="K22" s="13">
        <v>67</v>
      </c>
      <c r="L22" s="13">
        <v>108</v>
      </c>
      <c r="M22" s="13">
        <v>13</v>
      </c>
      <c r="N22" s="13">
        <v>-20</v>
      </c>
      <c r="O22" s="13">
        <v>64</v>
      </c>
      <c r="P22" s="13">
        <v>-70</v>
      </c>
      <c r="Q22" s="13">
        <v>76</v>
      </c>
      <c r="R22" s="13">
        <v>-140</v>
      </c>
      <c r="S22" s="13">
        <v>41</v>
      </c>
      <c r="T22" s="13">
        <v>-17</v>
      </c>
      <c r="U22" s="13">
        <v>160</v>
      </c>
      <c r="V22" s="13">
        <v>-156</v>
      </c>
      <c r="W22" s="13">
        <v>214</v>
      </c>
      <c r="X22" s="13">
        <v>148</v>
      </c>
      <c r="Y22" s="13">
        <v>63</v>
      </c>
      <c r="Z22" s="13">
        <v>31</v>
      </c>
      <c r="AA22" s="13">
        <v>-10</v>
      </c>
      <c r="AB22" s="78">
        <v>133</v>
      </c>
      <c r="AC22" s="78">
        <v>29</v>
      </c>
      <c r="AD22" s="77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9">
        <v>46332.39207175927</v>
      </c>
      <c r="F23" s="1" t="s">
        <v>148</v>
      </c>
      <c r="G23" s="13">
        <v>138</v>
      </c>
      <c r="H23" s="13">
        <v>-169</v>
      </c>
      <c r="I23" s="13">
        <v>-55</v>
      </c>
      <c r="J23" s="13">
        <v>239</v>
      </c>
      <c r="K23" s="13">
        <v>28</v>
      </c>
      <c r="L23" s="13">
        <v>23</v>
      </c>
      <c r="M23" s="13">
        <v>93</v>
      </c>
      <c r="N23" s="13">
        <v>-194</v>
      </c>
      <c r="O23" s="13">
        <v>218</v>
      </c>
      <c r="P23" s="13">
        <v>108</v>
      </c>
      <c r="Q23" s="13">
        <v>225</v>
      </c>
      <c r="R23" s="13" t="s">
        <v>35</v>
      </c>
      <c r="S23" s="13" t="s">
        <v>35</v>
      </c>
      <c r="T23" s="13">
        <v>-278</v>
      </c>
      <c r="U23" s="13">
        <v>-135</v>
      </c>
      <c r="V23" s="13">
        <v>203</v>
      </c>
      <c r="W23" s="13">
        <v>-332</v>
      </c>
      <c r="X23" s="13">
        <v>134</v>
      </c>
      <c r="Y23" s="13">
        <v>-66</v>
      </c>
      <c r="Z23" s="13">
        <v>-213</v>
      </c>
      <c r="AA23" s="13">
        <v>-178</v>
      </c>
      <c r="AB23" s="12">
        <v>115</v>
      </c>
      <c r="AC23" s="12">
        <v>78</v>
      </c>
      <c r="AD23" s="77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4.2</v>
      </c>
      <c r="H24" s="4">
        <v>4.0999999999999996</v>
      </c>
      <c r="I24" s="4">
        <v>4</v>
      </c>
      <c r="J24" s="4">
        <v>4.2</v>
      </c>
      <c r="K24" s="4">
        <v>4.2</v>
      </c>
      <c r="L24" s="4">
        <v>4.2</v>
      </c>
      <c r="M24" s="4">
        <v>4.3</v>
      </c>
      <c r="N24" s="4">
        <v>4.0999999999999996</v>
      </c>
      <c r="O24" s="4">
        <v>4.3</v>
      </c>
      <c r="P24" s="4">
        <v>4.3</v>
      </c>
      <c r="Q24" s="4">
        <v>4.4000000000000004</v>
      </c>
      <c r="R24" s="4" t="s">
        <v>35</v>
      </c>
      <c r="S24" s="4">
        <v>4.5</v>
      </c>
      <c r="T24" s="4">
        <v>4.4000000000000004</v>
      </c>
      <c r="U24" s="4">
        <v>4.3</v>
      </c>
      <c r="V24" s="4">
        <v>4.4000000000000004</v>
      </c>
      <c r="W24" s="4">
        <v>4.3</v>
      </c>
      <c r="X24" s="4">
        <v>4.3</v>
      </c>
      <c r="Y24" s="4">
        <v>4.3</v>
      </c>
      <c r="Z24" s="4">
        <v>4.2</v>
      </c>
      <c r="AA24" s="4">
        <v>4.0999999999999996</v>
      </c>
      <c r="AB24" s="66">
        <v>4.0999999999999996</v>
      </c>
      <c r="AC24" s="66">
        <v>4.2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33.6</v>
      </c>
      <c r="J25" s="7">
        <v>33.6</v>
      </c>
      <c r="K25" s="7">
        <v>33.700000000000003</v>
      </c>
      <c r="L25" s="7">
        <v>33.700000000000003</v>
      </c>
      <c r="M25" s="7">
        <v>33.6</v>
      </c>
      <c r="N25" s="7">
        <v>33.6</v>
      </c>
      <c r="O25" s="7">
        <v>33.700000000000003</v>
      </c>
      <c r="P25" s="7">
        <v>33.700000000000003</v>
      </c>
      <c r="Q25" s="7">
        <v>33.700000000000003</v>
      </c>
      <c r="R25" s="7">
        <v>33.700000000000003</v>
      </c>
      <c r="S25" s="7">
        <v>33.799999999999997</v>
      </c>
      <c r="T25" s="7">
        <v>33.700000000000003</v>
      </c>
      <c r="U25" s="28">
        <v>33.799999999999997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9">
        <v>46332.393252314825</v>
      </c>
      <c r="F26" s="1" t="s">
        <v>141</v>
      </c>
      <c r="G26" s="7">
        <v>-8.7290000000000006E-2</v>
      </c>
      <c r="H26" s="7">
        <v>0.15334999999999999</v>
      </c>
      <c r="I26" s="7">
        <v>1.29966</v>
      </c>
      <c r="J26" s="7">
        <v>-0.14939</v>
      </c>
      <c r="K26" s="7">
        <v>0.11734</v>
      </c>
      <c r="L26" s="7">
        <v>0.24203</v>
      </c>
      <c r="M26" s="7">
        <v>-0.32855000000000001</v>
      </c>
      <c r="N26" s="7">
        <v>-6.5689999999999998E-2</v>
      </c>
      <c r="O26" s="7">
        <v>1.8780000000000002E-2</v>
      </c>
      <c r="P26" s="7">
        <v>0.19833999999999999</v>
      </c>
      <c r="Q26" s="7">
        <v>0.29926999999999998</v>
      </c>
      <c r="R26" s="7" t="s">
        <v>35</v>
      </c>
      <c r="S26" s="7" t="s">
        <v>35</v>
      </c>
      <c r="T26" s="7">
        <v>-2.682E-2</v>
      </c>
      <c r="U26" s="7">
        <v>-0.60060000000000002</v>
      </c>
      <c r="V26" s="7">
        <v>1.056E-2</v>
      </c>
      <c r="W26" s="7">
        <v>-0.23227999999999999</v>
      </c>
      <c r="X26" s="7">
        <v>-5.4089999999999999E-2</v>
      </c>
      <c r="Y26" s="7">
        <v>4.8820000000000002E-2</v>
      </c>
      <c r="Z26" s="7">
        <v>-0.42333999999999999</v>
      </c>
      <c r="AA26" s="7">
        <v>-0.15587999999999999</v>
      </c>
      <c r="AB26" s="28">
        <v>0.40392</v>
      </c>
      <c r="AC26" s="28">
        <v>0.28566999999999998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9">
        <v>46311.38898148149</v>
      </c>
      <c r="F29" s="48" t="s">
        <v>138</v>
      </c>
      <c r="G29" s="7">
        <v>-0.17793999999999999</v>
      </c>
      <c r="H29" s="7">
        <v>1.04217</v>
      </c>
      <c r="I29" s="7">
        <v>-0.26173999999999997</v>
      </c>
      <c r="J29" s="7">
        <v>1.03393</v>
      </c>
      <c r="K29" s="7">
        <v>-5.8259999999999999E-2</v>
      </c>
      <c r="L29" s="7">
        <v>8.6599999999999996E-2</v>
      </c>
      <c r="M29" s="7">
        <v>-0.16059000000000001</v>
      </c>
      <c r="N29" s="7">
        <v>0.50809000000000004</v>
      </c>
      <c r="O29" s="7">
        <v>0.40944999999999998</v>
      </c>
      <c r="P29" s="7">
        <v>-0.26429000000000002</v>
      </c>
      <c r="Q29" s="7">
        <v>4.2610000000000002E-2</v>
      </c>
      <c r="R29" s="7">
        <v>-0.44113999999999998</v>
      </c>
      <c r="S29" s="7">
        <v>-0.18287</v>
      </c>
      <c r="T29" s="7">
        <v>0.45499000000000001</v>
      </c>
      <c r="U29" s="7">
        <v>-0.4486</v>
      </c>
      <c r="V29" s="7">
        <v>0.85758999999999996</v>
      </c>
      <c r="W29" s="7">
        <v>-0.16849</v>
      </c>
      <c r="X29" s="28">
        <v>0.83030999999999999</v>
      </c>
      <c r="Y29" s="28">
        <v>5.9760000000000001E-2</v>
      </c>
      <c r="Z29" s="28">
        <v>0.19719</v>
      </c>
      <c r="AA29" s="28">
        <v>0.19778000000000001</v>
      </c>
      <c r="AB29" s="28">
        <v>2.213E-2</v>
      </c>
      <c r="AC29" s="7" t="e">
        <v>#N/A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9">
        <v>46311.387928240743</v>
      </c>
      <c r="F30" s="48" t="s">
        <v>136</v>
      </c>
      <c r="G30" s="7">
        <v>75.168099999999995</v>
      </c>
      <c r="H30" s="7">
        <v>75.865099999999998</v>
      </c>
      <c r="I30" s="7">
        <v>75.578100000000006</v>
      </c>
      <c r="J30" s="7">
        <v>76.268500000000003</v>
      </c>
      <c r="K30" s="7">
        <v>76.131799999999998</v>
      </c>
      <c r="L30" s="7">
        <v>76.104799999999997</v>
      </c>
      <c r="M30" s="7">
        <v>75.889399999999995</v>
      </c>
      <c r="N30" s="7">
        <v>76.180999999999997</v>
      </c>
      <c r="O30" s="7">
        <v>76.399699999999996</v>
      </c>
      <c r="P30" s="7">
        <v>76.105500000000006</v>
      </c>
      <c r="Q30" s="7">
        <v>76.046099999999996</v>
      </c>
      <c r="R30" s="7">
        <v>75.619399999999999</v>
      </c>
      <c r="S30" s="7">
        <v>75.390100000000004</v>
      </c>
      <c r="T30" s="7">
        <v>75.642200000000003</v>
      </c>
      <c r="U30" s="7">
        <v>75.242000000000004</v>
      </c>
      <c r="V30" s="7">
        <v>75.8142</v>
      </c>
      <c r="W30" s="7">
        <v>75.617800000000003</v>
      </c>
      <c r="X30" s="7">
        <v>76.180300000000003</v>
      </c>
      <c r="Y30" s="7">
        <v>76.160499999999999</v>
      </c>
      <c r="Z30" s="7">
        <v>76.243799999999993</v>
      </c>
      <c r="AA30" s="7">
        <v>76.325900000000004</v>
      </c>
      <c r="AB30" s="54">
        <v>76.271699999999996</v>
      </c>
      <c r="AC30" s="7" t="e">
        <v>#N/A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-0.29522999999999999</v>
      </c>
      <c r="H31" s="4">
        <v>0.39457999999999999</v>
      </c>
      <c r="I31" s="4">
        <v>0.30186000000000002</v>
      </c>
      <c r="J31" s="4">
        <v>0.54366999999999999</v>
      </c>
      <c r="K31" s="4">
        <v>3.3617499999999998</v>
      </c>
      <c r="L31" s="4">
        <v>-3.86788</v>
      </c>
      <c r="M31" s="4">
        <v>8.2549200000000003</v>
      </c>
      <c r="N31" s="4">
        <v>-4.8342999999999998</v>
      </c>
      <c r="O31" s="4">
        <v>-1.2895099999999999</v>
      </c>
      <c r="P31" s="4">
        <v>1.3051999999999999</v>
      </c>
      <c r="Q31" s="4">
        <v>0.23058999999999999</v>
      </c>
      <c r="R31" s="4">
        <v>-1.2193400000000001</v>
      </c>
      <c r="S31" s="4">
        <v>2.7185299999999999</v>
      </c>
      <c r="T31" s="4">
        <v>-0.43772</v>
      </c>
      <c r="U31" s="4">
        <v>3.4729999999999997E-2</v>
      </c>
      <c r="V31" s="4">
        <v>0.31517000000000001</v>
      </c>
      <c r="W31" s="4">
        <v>1.82616</v>
      </c>
      <c r="X31" s="4">
        <v>5.25488</v>
      </c>
      <c r="Y31" s="4">
        <v>-1.0600799999999999</v>
      </c>
      <c r="Z31" s="4">
        <v>-0.15876000000000001</v>
      </c>
      <c r="AA31" s="29">
        <v>0.76727000000000001</v>
      </c>
      <c r="AB31" s="29">
        <v>9.8669999999999994E-2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-1.6797</v>
      </c>
      <c r="H32" s="7">
        <v>0.76958000000000004</v>
      </c>
      <c r="I32" s="7">
        <v>0.21889</v>
      </c>
      <c r="J32" s="7">
        <v>0.95811999999999997</v>
      </c>
      <c r="K32" s="7">
        <v>7.5616099999999999</v>
      </c>
      <c r="L32" s="7">
        <v>-6.6366199999999997</v>
      </c>
      <c r="M32" s="7">
        <v>16.543089999999999</v>
      </c>
      <c r="N32" s="7">
        <v>-9.3899799999999995</v>
      </c>
      <c r="O32" s="7">
        <v>-2.7999000000000001</v>
      </c>
      <c r="P32" s="7">
        <v>3.0049600000000001</v>
      </c>
      <c r="Q32" s="7">
        <v>0.64363000000000004</v>
      </c>
      <c r="R32" s="7">
        <v>-2.09361</v>
      </c>
      <c r="S32" s="7">
        <v>5.4410400000000001</v>
      </c>
      <c r="T32" s="7">
        <v>-0.91364999999999996</v>
      </c>
      <c r="U32" s="7">
        <v>-0.4254</v>
      </c>
      <c r="V32" s="7">
        <v>-1.16947</v>
      </c>
      <c r="W32" s="7">
        <v>1.3445800000000001</v>
      </c>
      <c r="X32" s="7">
        <v>8.5127199999999998</v>
      </c>
      <c r="Y32" s="7">
        <v>-4.0041200000000003</v>
      </c>
      <c r="Z32" s="7">
        <v>0.58021</v>
      </c>
      <c r="AA32" s="7">
        <v>0.86992000000000003</v>
      </c>
      <c r="AB32" s="54">
        <v>-7.145E-2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0.60623000000000005</v>
      </c>
      <c r="H33" s="7">
        <v>0.18695999999999999</v>
      </c>
      <c r="I33" s="7">
        <v>0.25374000000000002</v>
      </c>
      <c r="J33" s="7">
        <v>0.62002000000000002</v>
      </c>
      <c r="K33" s="7">
        <v>0.47645999999999999</v>
      </c>
      <c r="L33" s="7">
        <v>-0.18809000000000001</v>
      </c>
      <c r="M33" s="7">
        <v>0.40873999999999999</v>
      </c>
      <c r="N33" s="7">
        <v>0.39121</v>
      </c>
      <c r="O33" s="7">
        <v>0.55689</v>
      </c>
      <c r="P33" s="7">
        <v>-9.5570000000000002E-2</v>
      </c>
      <c r="Q33" s="7">
        <v>1.1755</v>
      </c>
      <c r="R33" s="7">
        <v>0.79269000000000001</v>
      </c>
      <c r="S33" s="7">
        <v>0.25444</v>
      </c>
      <c r="T33" s="7">
        <v>0.96392</v>
      </c>
      <c r="U33" s="7">
        <v>-1.9040000000000001E-2</v>
      </c>
      <c r="V33" s="28">
        <v>1.2914000000000001</v>
      </c>
      <c r="W33" s="28">
        <v>1.33385</v>
      </c>
      <c r="X33" s="28">
        <v>0.56784000000000001</v>
      </c>
      <c r="Y33" s="28">
        <v>0.13531000000000001</v>
      </c>
      <c r="Z33" s="28">
        <v>2.3562099999999999</v>
      </c>
      <c r="AA33" s="28">
        <v>1.42343</v>
      </c>
      <c r="AB33" s="28">
        <v>0.53724000000000005</v>
      </c>
      <c r="AC33" s="7" t="e">
        <v>#N/A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6.5" thickBot="1" x14ac:dyDescent="0.3">
      <c r="A35" s="10"/>
      <c r="B35" s="10"/>
      <c r="C35" s="10"/>
      <c r="D35" s="33"/>
      <c r="E35" s="32"/>
      <c r="F35" s="10" t="s">
        <v>128</v>
      </c>
      <c r="G35" s="9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9"/>
      <c r="AD35" s="9"/>
      <c r="AH35" t="s">
        <v>32</v>
      </c>
    </row>
    <row r="36" spans="1:34" ht="17.25" thickTop="1" thickBot="1" x14ac:dyDescent="0.3">
      <c r="A36" s="1">
        <v>55</v>
      </c>
      <c r="B36" s="1" t="s">
        <v>127</v>
      </c>
      <c r="C36" s="16" t="s">
        <v>8</v>
      </c>
      <c r="D36" s="24">
        <v>46310.419027777774</v>
      </c>
      <c r="E36" s="23">
        <v>46343.419027777767</v>
      </c>
      <c r="F36" s="1" t="s">
        <v>126</v>
      </c>
      <c r="G36" s="7">
        <v>0.29459000000000002</v>
      </c>
      <c r="H36" s="76">
        <v>-0.31867000000000001</v>
      </c>
      <c r="I36" s="75">
        <v>0.37806000000000001</v>
      </c>
      <c r="J36" s="75">
        <v>0.12834000000000001</v>
      </c>
      <c r="K36" s="75">
        <v>7.0419999999999996E-2</v>
      </c>
      <c r="L36" s="75">
        <v>-8.6269999999999999E-2</v>
      </c>
      <c r="M36" s="75">
        <v>-3.2259999999999997E-2</v>
      </c>
      <c r="N36" s="75">
        <v>0.20338000000000001</v>
      </c>
      <c r="O36" s="75">
        <v>0.10838</v>
      </c>
      <c r="P36" s="75">
        <v>-0.10174</v>
      </c>
      <c r="Q36" s="75">
        <v>0.29274</v>
      </c>
      <c r="R36" s="75">
        <v>0.26362000000000002</v>
      </c>
      <c r="S36" s="75">
        <v>0.23005</v>
      </c>
      <c r="T36" s="75">
        <v>-6.0589999999999998E-2</v>
      </c>
      <c r="U36" s="74">
        <v>1.643E-2</v>
      </c>
      <c r="V36" s="74">
        <v>0.42576999999999998</v>
      </c>
      <c r="W36" s="74">
        <v>0.97848999999999997</v>
      </c>
      <c r="X36" s="74">
        <v>0.55288999999999999</v>
      </c>
      <c r="Y36" s="74">
        <v>0.38057000000000002</v>
      </c>
      <c r="Z36" s="74">
        <v>0.11377</v>
      </c>
      <c r="AA36" s="74">
        <v>0.88497000000000003</v>
      </c>
      <c r="AB36" s="74">
        <v>0.41588000000000003</v>
      </c>
      <c r="AC36" s="7" t="e">
        <v>#N/A</v>
      </c>
      <c r="AD36" s="7" t="e">
        <v>#N/A</v>
      </c>
      <c r="AH36" t="s">
        <v>18</v>
      </c>
    </row>
    <row r="37" spans="1:34" ht="17.25" thickTop="1" thickBot="1" x14ac:dyDescent="0.3">
      <c r="A37" s="1">
        <v>59</v>
      </c>
      <c r="B37" s="1" t="s">
        <v>125</v>
      </c>
      <c r="C37" s="16" t="s">
        <v>8</v>
      </c>
      <c r="D37" s="24">
        <v>46310.419050925928</v>
      </c>
      <c r="E37" s="23">
        <v>46343.419050925935</v>
      </c>
      <c r="F37" s="1" t="s">
        <v>124</v>
      </c>
      <c r="G37" s="42">
        <v>1.43</v>
      </c>
      <c r="H37" s="73">
        <v>1.42</v>
      </c>
      <c r="I37" s="71">
        <v>1.43</v>
      </c>
      <c r="J37" s="72">
        <v>1.42</v>
      </c>
      <c r="K37" s="71">
        <v>1.41</v>
      </c>
      <c r="L37" s="71">
        <v>1.41</v>
      </c>
      <c r="M37" s="71">
        <v>1.42</v>
      </c>
      <c r="N37" s="72">
        <v>1.42</v>
      </c>
      <c r="O37" s="72">
        <v>1.4</v>
      </c>
      <c r="P37" s="71">
        <v>1.4</v>
      </c>
      <c r="Q37" s="71">
        <v>1.4</v>
      </c>
      <c r="R37" s="71">
        <v>1.41</v>
      </c>
      <c r="S37" s="71">
        <v>1.4</v>
      </c>
      <c r="T37" s="71">
        <v>1.39</v>
      </c>
      <c r="U37" s="72">
        <v>1.38</v>
      </c>
      <c r="V37" s="71">
        <v>1.37</v>
      </c>
      <c r="W37" s="71">
        <v>1.35</v>
      </c>
      <c r="X37" s="72">
        <v>1.34</v>
      </c>
      <c r="Y37" s="71">
        <v>1.31</v>
      </c>
      <c r="Z37" s="72">
        <v>1.33</v>
      </c>
      <c r="AA37" s="71">
        <v>1.34</v>
      </c>
      <c r="AB37" s="70">
        <v>1.33</v>
      </c>
      <c r="AC37" s="42" t="e">
        <v>#N/A</v>
      </c>
      <c r="AD37" s="42" t="e">
        <v>#N/A</v>
      </c>
      <c r="AH37" t="s">
        <v>6</v>
      </c>
    </row>
    <row r="38" spans="1:34" ht="17.25" thickTop="1" thickBot="1" x14ac:dyDescent="0.3">
      <c r="A38" s="6">
        <v>139</v>
      </c>
      <c r="B38" s="6" t="s">
        <v>123</v>
      </c>
      <c r="C38" s="22" t="s">
        <v>8</v>
      </c>
      <c r="D38" s="21">
        <v>46310.866886574076</v>
      </c>
      <c r="E38" s="20">
        <v>46343.866886574076</v>
      </c>
      <c r="F38" s="6" t="s">
        <v>122</v>
      </c>
      <c r="G38" s="4">
        <v>0.4</v>
      </c>
      <c r="H38" s="4">
        <v>-0.5</v>
      </c>
      <c r="I38" s="57">
        <v>0.1</v>
      </c>
      <c r="J38" s="4">
        <v>-0.1</v>
      </c>
      <c r="K38" s="57">
        <v>-0.3</v>
      </c>
      <c r="L38" s="56">
        <v>-0.4</v>
      </c>
      <c r="M38" s="56">
        <v>0.1</v>
      </c>
      <c r="N38" s="4">
        <v>0.2</v>
      </c>
      <c r="O38" s="4">
        <v>0.1</v>
      </c>
      <c r="P38" s="57">
        <v>-0.2</v>
      </c>
      <c r="Q38" s="56">
        <v>0.4</v>
      </c>
      <c r="R38" s="56">
        <v>0.6</v>
      </c>
      <c r="S38" s="56">
        <v>0.3</v>
      </c>
      <c r="T38" s="56">
        <v>-0.1</v>
      </c>
      <c r="U38" s="4">
        <v>0.3</v>
      </c>
      <c r="V38" s="57">
        <v>0.3</v>
      </c>
      <c r="W38" s="56">
        <v>0.7</v>
      </c>
      <c r="X38" s="4">
        <v>0.7</v>
      </c>
      <c r="Y38" s="57">
        <v>0.7</v>
      </c>
      <c r="Z38" s="4">
        <v>-0.2</v>
      </c>
      <c r="AA38" s="69">
        <v>0.9</v>
      </c>
      <c r="AB38" s="68">
        <v>0.2</v>
      </c>
      <c r="AC38" s="4" t="e">
        <v>#N/A</v>
      </c>
      <c r="AD38" s="4" t="e">
        <v>#N/A</v>
      </c>
      <c r="AH38" t="s">
        <v>18</v>
      </c>
    </row>
    <row r="39" spans="1:34" ht="16.5" thickTop="1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0.27165</v>
      </c>
      <c r="H39" s="7">
        <v>0.45904</v>
      </c>
      <c r="I39" s="7">
        <v>0.19212000000000001</v>
      </c>
      <c r="J39" s="7">
        <v>0.22122</v>
      </c>
      <c r="K39" s="7">
        <v>-1.668E-2</v>
      </c>
      <c r="L39" s="7">
        <v>-0.47621000000000002</v>
      </c>
      <c r="M39" s="7">
        <v>-0.13980000000000001</v>
      </c>
      <c r="N39" s="7">
        <v>0.27600999999999998</v>
      </c>
      <c r="O39" s="7">
        <v>9.8210000000000006E-2</v>
      </c>
      <c r="P39" s="7">
        <v>-7.8310000000000005E-2</v>
      </c>
      <c r="Q39" s="7">
        <v>-5.416E-2</v>
      </c>
      <c r="R39" s="7">
        <v>-0.13039999999999999</v>
      </c>
      <c r="S39" s="7">
        <v>0.15262999999999999</v>
      </c>
      <c r="T39" s="7">
        <v>-0.40786</v>
      </c>
      <c r="U39" s="7">
        <v>-0.28791</v>
      </c>
      <c r="V39" s="7">
        <v>0.22664999999999999</v>
      </c>
      <c r="W39" s="7">
        <v>2.0821200000000002</v>
      </c>
      <c r="X39" s="7">
        <v>0.26140000000000002</v>
      </c>
      <c r="Y39" s="7">
        <v>0.15609000000000001</v>
      </c>
      <c r="Z39" s="7">
        <v>-0.56379999999999997</v>
      </c>
      <c r="AA39" s="54">
        <v>0.36033999999999999</v>
      </c>
      <c r="AB39" s="54">
        <v>0.38933000000000001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46309.380891203706</v>
      </c>
      <c r="E42" s="23">
        <v>46336.380891203706</v>
      </c>
      <c r="F42" s="1" t="s">
        <v>117</v>
      </c>
      <c r="G42" s="7">
        <v>2.7194699999999998</v>
      </c>
      <c r="H42" s="7">
        <v>2.8706900000000002</v>
      </c>
      <c r="I42" s="7">
        <v>2.99098</v>
      </c>
      <c r="J42" s="7">
        <v>2.80158</v>
      </c>
      <c r="K42" s="7">
        <v>2.38198</v>
      </c>
      <c r="L42" s="7">
        <v>2.3253900000000001</v>
      </c>
      <c r="M42" s="7">
        <v>2.3772700000000002</v>
      </c>
      <c r="N42" s="7">
        <v>2.68045</v>
      </c>
      <c r="O42" s="7">
        <v>2.7426200000000001</v>
      </c>
      <c r="P42" s="7">
        <v>2.93859</v>
      </c>
      <c r="Q42" s="7">
        <v>3.02257</v>
      </c>
      <c r="R42" s="7" t="s">
        <v>35</v>
      </c>
      <c r="S42" s="7">
        <v>2.6964399999999999</v>
      </c>
      <c r="T42" s="7">
        <v>2.6533000000000002</v>
      </c>
      <c r="U42" s="7">
        <v>2.3912</v>
      </c>
      <c r="V42" s="7">
        <v>2.4340000000000002</v>
      </c>
      <c r="W42" s="54">
        <v>3.2859600000000002</v>
      </c>
      <c r="X42" s="54">
        <v>3.7792500000000002</v>
      </c>
      <c r="Y42" s="54">
        <v>4.1666100000000004</v>
      </c>
      <c r="Z42" s="54">
        <v>3.46353</v>
      </c>
      <c r="AA42" s="54">
        <v>3.3038599999999998</v>
      </c>
      <c r="AB42" s="54">
        <v>3.3530199999999999</v>
      </c>
      <c r="AC42" s="54">
        <v>3.7172499999999999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46309.380891203706</v>
      </c>
      <c r="E43" s="23">
        <v>46336.380891203706</v>
      </c>
      <c r="F43" s="1" t="s">
        <v>115</v>
      </c>
      <c r="G43" s="7">
        <v>2.3273899999999998</v>
      </c>
      <c r="H43" s="7">
        <v>2.3955600000000001</v>
      </c>
      <c r="I43" s="7">
        <v>2.3864700000000001</v>
      </c>
      <c r="J43" s="7">
        <v>2.5014799999999999</v>
      </c>
      <c r="K43" s="7">
        <v>2.8554300000000001</v>
      </c>
      <c r="L43" s="7">
        <v>2.69597</v>
      </c>
      <c r="M43" s="7">
        <v>2.81447</v>
      </c>
      <c r="N43" s="7">
        <v>2.9002400000000002</v>
      </c>
      <c r="O43" s="7">
        <v>2.80741</v>
      </c>
      <c r="P43" s="7">
        <v>3.1192700000000002</v>
      </c>
      <c r="Q43" s="7">
        <v>3.0494500000000002</v>
      </c>
      <c r="R43" s="7" t="s">
        <v>35</v>
      </c>
      <c r="S43" s="7">
        <v>2.5808499999999999</v>
      </c>
      <c r="T43" s="7">
        <v>2.9889899999999998</v>
      </c>
      <c r="U43" s="7">
        <v>2.8765000000000001</v>
      </c>
      <c r="V43" s="7">
        <v>3.0527899999999999</v>
      </c>
      <c r="W43" s="7">
        <v>2.6852800000000001</v>
      </c>
      <c r="X43" s="7">
        <v>3.1423999999999999</v>
      </c>
      <c r="Y43" s="7">
        <v>3.02291</v>
      </c>
      <c r="Z43" s="7">
        <v>2.9311199999999999</v>
      </c>
      <c r="AA43" s="7">
        <v>2.8907099999999999</v>
      </c>
      <c r="AB43" s="7">
        <v>2.5751400000000002</v>
      </c>
      <c r="AC43" s="28">
        <v>2.39337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46309.380891203706</v>
      </c>
      <c r="E44" s="20">
        <v>46336.380891203706</v>
      </c>
      <c r="F44" s="6" t="s">
        <v>113</v>
      </c>
      <c r="G44" s="4">
        <v>-3.1419899999999998</v>
      </c>
      <c r="H44" s="4">
        <v>-0.33266000000000001</v>
      </c>
      <c r="I44" s="4">
        <v>0.82835000000000003</v>
      </c>
      <c r="J44" s="4">
        <v>-0.43589</v>
      </c>
      <c r="K44" s="4">
        <v>-3.3884300000000001</v>
      </c>
      <c r="L44" s="4">
        <v>-3.5701000000000001</v>
      </c>
      <c r="M44" s="4">
        <v>-3.0925699999999998</v>
      </c>
      <c r="N44" s="4">
        <v>-0.62022999999999995</v>
      </c>
      <c r="O44" s="4">
        <v>-1.23506</v>
      </c>
      <c r="P44" s="4">
        <v>0.37286000000000002</v>
      </c>
      <c r="Q44" s="4">
        <v>2.9407999999999999</v>
      </c>
      <c r="R44" s="4" t="s">
        <v>35</v>
      </c>
      <c r="S44" s="4">
        <v>4.1594499999999996</v>
      </c>
      <c r="T44" s="4">
        <v>2.07091</v>
      </c>
      <c r="U44" s="4">
        <v>-0.29616999999999999</v>
      </c>
      <c r="V44" s="66">
        <v>0.39950999999999998</v>
      </c>
      <c r="W44" s="66">
        <v>12.589549999999999</v>
      </c>
      <c r="X44" s="66">
        <v>17.536049999999999</v>
      </c>
      <c r="Y44" s="66">
        <v>22.97287</v>
      </c>
      <c r="Z44" s="66">
        <v>15.451370000000001</v>
      </c>
      <c r="AA44" s="66">
        <v>14.44533</v>
      </c>
      <c r="AB44" s="66">
        <v>16.04935</v>
      </c>
      <c r="AC44" s="66">
        <v>20.354109999999999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46309.380891203706</v>
      </c>
      <c r="E45" s="23">
        <v>46336.380891203706</v>
      </c>
      <c r="F45" s="1" t="s">
        <v>111</v>
      </c>
      <c r="G45" s="7">
        <v>3.2859400000000001</v>
      </c>
      <c r="H45" s="7">
        <v>3.21333</v>
      </c>
      <c r="I45" s="7">
        <v>3.2829700000000002</v>
      </c>
      <c r="J45" s="7">
        <v>3.1375600000000001</v>
      </c>
      <c r="K45" s="7">
        <v>2.8087800000000001</v>
      </c>
      <c r="L45" s="7">
        <v>2.7760199999999999</v>
      </c>
      <c r="M45" s="7">
        <v>2.7658399999999999</v>
      </c>
      <c r="N45" s="7">
        <v>2.9108999999999998</v>
      </c>
      <c r="O45" s="7">
        <v>3.0544899999999999</v>
      </c>
      <c r="P45" s="7">
        <v>3.1118100000000002</v>
      </c>
      <c r="Q45" s="7">
        <v>3.0199699999999998</v>
      </c>
      <c r="R45" s="7" t="s">
        <v>35</v>
      </c>
      <c r="S45" s="7">
        <v>2.59904</v>
      </c>
      <c r="T45" s="7">
        <v>2.6464799999999999</v>
      </c>
      <c r="U45" s="7">
        <v>2.5120300000000002</v>
      </c>
      <c r="V45" s="7">
        <v>2.4724599999999999</v>
      </c>
      <c r="W45" s="7">
        <v>2.6021700000000001</v>
      </c>
      <c r="X45" s="7">
        <v>2.7433100000000001</v>
      </c>
      <c r="Y45" s="7">
        <v>2.82294</v>
      </c>
      <c r="Z45" s="7">
        <v>2.5657899999999998</v>
      </c>
      <c r="AA45" s="7">
        <v>2.46652</v>
      </c>
      <c r="AB45" s="7">
        <v>2.4461599999999999</v>
      </c>
      <c r="AC45" s="54">
        <v>2.5658400000000001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6.5" thickBot="1" x14ac:dyDescent="0.3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36"/>
      <c r="Z47" s="36"/>
      <c r="AA47" s="36"/>
      <c r="AB47" s="36"/>
      <c r="AC47" s="36"/>
      <c r="AD47" s="9"/>
      <c r="AH47" t="s">
        <v>32</v>
      </c>
    </row>
    <row r="48" spans="1:34" ht="17.25" thickTop="1" thickBot="1" x14ac:dyDescent="0.3">
      <c r="A48" s="1">
        <v>123</v>
      </c>
      <c r="B48" s="1" t="s">
        <v>108</v>
      </c>
      <c r="C48" s="16" t="s">
        <v>103</v>
      </c>
      <c r="D48" s="24">
        <v>46310.431851851848</v>
      </c>
      <c r="E48" s="49">
        <v>46339.431851851841</v>
      </c>
      <c r="F48" s="1" t="s">
        <v>2</v>
      </c>
      <c r="G48" s="8">
        <v>2.00332</v>
      </c>
      <c r="H48" s="8">
        <v>2.76092</v>
      </c>
      <c r="I48" s="8">
        <v>3.05247</v>
      </c>
      <c r="J48" s="8">
        <v>2.1398100000000002</v>
      </c>
      <c r="K48" s="8">
        <v>0.80013999999999996</v>
      </c>
      <c r="L48" s="8">
        <v>0.29111999999999999</v>
      </c>
      <c r="M48" s="8">
        <v>1.1798500000000001</v>
      </c>
      <c r="N48" s="8">
        <v>1.8916599999999999</v>
      </c>
      <c r="O48" s="8">
        <v>1.9171</v>
      </c>
      <c r="P48" s="8">
        <v>1.9361200000000001</v>
      </c>
      <c r="Q48" s="8">
        <v>3.10771</v>
      </c>
      <c r="R48" s="8">
        <v>2.4719799999999998</v>
      </c>
      <c r="S48" s="8">
        <v>2.7689699999999999</v>
      </c>
      <c r="T48" s="8">
        <v>2.15889</v>
      </c>
      <c r="U48" s="8">
        <v>1.11154</v>
      </c>
      <c r="V48" s="8">
        <v>1.6553800000000001</v>
      </c>
      <c r="W48" s="8">
        <v>4.48611</v>
      </c>
      <c r="X48" s="8">
        <v>6.4635600000000002</v>
      </c>
      <c r="Y48" s="63">
        <v>8.7441399999999998</v>
      </c>
      <c r="Z48" s="62">
        <v>6.5667900000000001</v>
      </c>
      <c r="AA48" s="62">
        <v>5.8784000000000001</v>
      </c>
      <c r="AB48" s="62">
        <v>6.5574199999999996</v>
      </c>
      <c r="AC48" s="62">
        <v>8.4082600000000003</v>
      </c>
      <c r="AD48" s="7" t="e">
        <v>#N/A</v>
      </c>
      <c r="AH48" t="s">
        <v>107</v>
      </c>
    </row>
    <row r="49" spans="1:34" ht="17.25" thickTop="1" thickBot="1" x14ac:dyDescent="0.3">
      <c r="A49" s="1">
        <v>119</v>
      </c>
      <c r="B49" s="1" t="s">
        <v>106</v>
      </c>
      <c r="C49" s="16" t="s">
        <v>103</v>
      </c>
      <c r="D49" s="24">
        <v>46310.431284722225</v>
      </c>
      <c r="E49" s="23">
        <v>46339.431284722232</v>
      </c>
      <c r="F49" s="1" t="s">
        <v>1</v>
      </c>
      <c r="G49" s="8">
        <v>-0.59180999999999995</v>
      </c>
      <c r="H49" s="8">
        <v>9.7409999999999997E-2</v>
      </c>
      <c r="I49" s="8">
        <v>0.96982999999999997</v>
      </c>
      <c r="J49" s="8">
        <v>0.28866000000000003</v>
      </c>
      <c r="K49" s="8">
        <v>0.69299999999999995</v>
      </c>
      <c r="L49" s="8">
        <v>0.49833</v>
      </c>
      <c r="M49" s="8">
        <v>1.8177700000000001</v>
      </c>
      <c r="N49" s="8">
        <v>1.82314</v>
      </c>
      <c r="O49" s="8">
        <v>2.1143399999999999</v>
      </c>
      <c r="P49" s="8">
        <v>2.5786699999999998</v>
      </c>
      <c r="Q49" s="8">
        <v>3.6800600000000001</v>
      </c>
      <c r="R49" s="8">
        <v>3.1039699999999999</v>
      </c>
      <c r="S49" s="8">
        <v>3.60541</v>
      </c>
      <c r="T49" s="8">
        <v>3.4494099999999999</v>
      </c>
      <c r="U49" s="8">
        <v>2.7845900000000001</v>
      </c>
      <c r="V49" s="8">
        <v>3.9473400000000001</v>
      </c>
      <c r="W49" s="8">
        <v>6.9090499999999997</v>
      </c>
      <c r="X49" s="8">
        <v>9.4268000000000001</v>
      </c>
      <c r="Y49" s="65">
        <v>12.258459999999999</v>
      </c>
      <c r="Z49" s="64">
        <v>11.152200000000001</v>
      </c>
      <c r="AA49" s="64">
        <v>10.01108</v>
      </c>
      <c r="AB49" s="64">
        <v>11.58319</v>
      </c>
      <c r="AC49" s="64">
        <v>14.15049</v>
      </c>
      <c r="AD49" s="7" t="e">
        <v>#N/A</v>
      </c>
      <c r="AH49" t="s">
        <v>105</v>
      </c>
    </row>
    <row r="50" spans="1:34" ht="17.25" thickTop="1" thickBot="1" x14ac:dyDescent="0.3">
      <c r="A50" s="6">
        <v>121</v>
      </c>
      <c r="B50" s="6" t="s">
        <v>104</v>
      </c>
      <c r="C50" s="22" t="s">
        <v>103</v>
      </c>
      <c r="D50" s="21">
        <v>46310.431423611109</v>
      </c>
      <c r="E50" s="50">
        <v>46339.431423611109</v>
      </c>
      <c r="F50" s="6" t="s">
        <v>0</v>
      </c>
      <c r="G50" s="5">
        <v>-2.0904600000000002</v>
      </c>
      <c r="H50" s="5">
        <v>4.7821400000000001</v>
      </c>
      <c r="I50" s="5">
        <v>8.6400299999999994</v>
      </c>
      <c r="J50" s="5">
        <v>9.3640600000000003</v>
      </c>
      <c r="K50" s="5">
        <v>6.5289299999999999</v>
      </c>
      <c r="L50" s="5">
        <v>0.27726000000000001</v>
      </c>
      <c r="M50" s="5">
        <v>-1.1279399999999999</v>
      </c>
      <c r="N50" s="5">
        <v>0.57887999999999995</v>
      </c>
      <c r="O50" s="5">
        <v>-1.7840000000000002E-2</v>
      </c>
      <c r="P50" s="5">
        <v>1.4526600000000001</v>
      </c>
      <c r="Q50" s="5">
        <v>3.4353099999999999</v>
      </c>
      <c r="R50" s="5">
        <v>-0.64237999999999995</v>
      </c>
      <c r="S50" s="5">
        <v>1.89177</v>
      </c>
      <c r="T50" s="5">
        <v>1.01627</v>
      </c>
      <c r="U50" s="5">
        <v>-0.18176999999999999</v>
      </c>
      <c r="V50" s="5">
        <v>5.3440700000000003</v>
      </c>
      <c r="W50" s="5">
        <v>9.3355499999999996</v>
      </c>
      <c r="X50" s="5">
        <v>15.40253</v>
      </c>
      <c r="Y50" s="63">
        <v>20.731300000000001</v>
      </c>
      <c r="Z50" s="62">
        <v>10.42502</v>
      </c>
      <c r="AA50" s="62">
        <v>8.7532700000000006</v>
      </c>
      <c r="AB50" s="62">
        <v>11.737130000000001</v>
      </c>
      <c r="AC50" s="62">
        <v>21.706589999999998</v>
      </c>
      <c r="AD50" s="4" t="e">
        <v>#N/A</v>
      </c>
      <c r="AH50" t="s">
        <v>102</v>
      </c>
    </row>
    <row r="51" spans="1:34" ht="16.5" thickTop="1" x14ac:dyDescent="0.25">
      <c r="A51" s="48">
        <v>115</v>
      </c>
      <c r="B51" s="48" t="s">
        <v>101</v>
      </c>
      <c r="C51" s="16" t="s">
        <v>100</v>
      </c>
      <c r="D51" s="24">
        <v>46251.618888888886</v>
      </c>
      <c r="E51" s="49">
        <v>46327.618888888886</v>
      </c>
      <c r="F51" s="48" t="s">
        <v>99</v>
      </c>
      <c r="G51" s="7">
        <v>3.1595200000000001</v>
      </c>
      <c r="H51" s="7">
        <v>5.1618199999999996</v>
      </c>
      <c r="I51" s="7">
        <v>-1.2286300000000001</v>
      </c>
      <c r="J51" s="7">
        <v>-1.72454</v>
      </c>
      <c r="K51" s="7">
        <v>-6.3280700000000003</v>
      </c>
      <c r="L51" s="7">
        <v>-2.8448000000000002</v>
      </c>
      <c r="M51" s="7">
        <v>0.75375999999999999</v>
      </c>
      <c r="N51" s="7">
        <v>1.7202500000000001</v>
      </c>
      <c r="O51" s="7">
        <v>5.4882900000000001</v>
      </c>
      <c r="P51" s="7">
        <v>0.61839999999999995</v>
      </c>
      <c r="Q51" s="7">
        <v>-6.6150700000000002</v>
      </c>
      <c r="R51" s="7">
        <v>-6.4808700000000004</v>
      </c>
      <c r="S51" s="7">
        <v>-1.9866999999999999</v>
      </c>
      <c r="T51" s="7">
        <v>-3.9635699999999998</v>
      </c>
      <c r="U51" s="7">
        <v>0.55603000000000002</v>
      </c>
      <c r="V51" s="7">
        <v>0.11595999999999999</v>
      </c>
      <c r="W51" s="7">
        <v>0.80996000000000001</v>
      </c>
      <c r="X51" s="7">
        <v>7.4778500000000001</v>
      </c>
      <c r="Y51" s="7">
        <v>12.34164</v>
      </c>
      <c r="Z51" s="28">
        <v>11.80897</v>
      </c>
      <c r="AA51" s="28">
        <v>10.31789</v>
      </c>
      <c r="AB51" s="7" t="e">
        <v>#N/A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46310.675405092596</v>
      </c>
      <c r="E52" s="14">
        <v>46316.675405092596</v>
      </c>
      <c r="F52" s="25" t="s">
        <v>97</v>
      </c>
      <c r="G52" s="42">
        <v>69.95</v>
      </c>
      <c r="H52" s="42">
        <v>70.12</v>
      </c>
      <c r="I52" s="42">
        <v>75.739999999999995</v>
      </c>
      <c r="J52" s="42">
        <v>71.53</v>
      </c>
      <c r="K52" s="42">
        <v>68.239999999999995</v>
      </c>
      <c r="L52" s="42">
        <v>63.54</v>
      </c>
      <c r="M52" s="42">
        <v>62.17</v>
      </c>
      <c r="N52" s="42">
        <v>68.17</v>
      </c>
      <c r="O52" s="42">
        <v>68.39</v>
      </c>
      <c r="P52" s="42">
        <v>64.86</v>
      </c>
      <c r="Q52" s="42">
        <v>63.96</v>
      </c>
      <c r="R52" s="42">
        <v>60.89</v>
      </c>
      <c r="S52" s="42">
        <v>60.06</v>
      </c>
      <c r="T52" s="42">
        <v>57.97</v>
      </c>
      <c r="U52" s="42">
        <v>60.04</v>
      </c>
      <c r="V52" s="42">
        <v>64.510000000000005</v>
      </c>
      <c r="W52" s="42">
        <v>91.38</v>
      </c>
      <c r="X52" s="42">
        <v>100.32</v>
      </c>
      <c r="Y52" s="42">
        <v>102.13</v>
      </c>
      <c r="Z52" s="42">
        <v>84.81</v>
      </c>
      <c r="AA52" s="42">
        <v>80.459999999999994</v>
      </c>
      <c r="AB52" s="51">
        <v>83.9</v>
      </c>
      <c r="AC52" s="51">
        <v>97.31</v>
      </c>
      <c r="AD52" s="40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46310.675416666665</v>
      </c>
      <c r="E53" s="20">
        <v>46316.675416666665</v>
      </c>
      <c r="F53" s="6" t="s">
        <v>95</v>
      </c>
      <c r="G53" s="46">
        <v>74.349999999999994</v>
      </c>
      <c r="H53" s="46">
        <v>73.86</v>
      </c>
      <c r="I53" s="46">
        <v>79.27</v>
      </c>
      <c r="J53" s="46">
        <v>75.44</v>
      </c>
      <c r="K53" s="46">
        <v>72.73</v>
      </c>
      <c r="L53" s="46">
        <v>68.13</v>
      </c>
      <c r="M53" s="46">
        <v>64.45</v>
      </c>
      <c r="N53" s="46">
        <v>71.44</v>
      </c>
      <c r="O53" s="46">
        <v>71.040000000000006</v>
      </c>
      <c r="P53" s="46">
        <v>67.87</v>
      </c>
      <c r="Q53" s="46">
        <v>67.989999999999995</v>
      </c>
      <c r="R53" s="46">
        <v>64.540000000000006</v>
      </c>
      <c r="S53" s="46">
        <v>63.8</v>
      </c>
      <c r="T53" s="46">
        <v>62.54</v>
      </c>
      <c r="U53" s="46">
        <v>66.599999999999994</v>
      </c>
      <c r="V53" s="46">
        <v>70.89</v>
      </c>
      <c r="W53" s="46">
        <v>103.13</v>
      </c>
      <c r="X53" s="46">
        <v>117.29</v>
      </c>
      <c r="Y53" s="46">
        <v>107.14</v>
      </c>
      <c r="Z53" s="46">
        <v>85.4</v>
      </c>
      <c r="AA53" s="46">
        <v>83.76</v>
      </c>
      <c r="AB53" s="61">
        <v>91.08</v>
      </c>
      <c r="AC53" s="61">
        <v>114.16</v>
      </c>
      <c r="AD53" s="44" t="s">
        <v>35</v>
      </c>
      <c r="AH53" t="s">
        <v>6</v>
      </c>
    </row>
    <row r="54" spans="1:34" ht="15.75" x14ac:dyDescent="0.25">
      <c r="A54" s="60">
        <v>117</v>
      </c>
      <c r="B54" s="60" t="s">
        <v>94</v>
      </c>
      <c r="C54" s="16" t="s">
        <v>93</v>
      </c>
      <c r="D54" s="24">
        <v>46310.676724537036</v>
      </c>
      <c r="E54" s="23">
        <v>46316.676724537043</v>
      </c>
      <c r="F54" s="60" t="s">
        <v>92</v>
      </c>
      <c r="G54" s="42">
        <v>2.12</v>
      </c>
      <c r="H54" s="42">
        <v>3.01</v>
      </c>
      <c r="I54" s="42">
        <v>4.13</v>
      </c>
      <c r="J54" s="42">
        <v>4.1900000000000004</v>
      </c>
      <c r="K54" s="42">
        <v>4.12</v>
      </c>
      <c r="L54" s="42">
        <v>3.42</v>
      </c>
      <c r="M54" s="42">
        <v>3.12</v>
      </c>
      <c r="N54" s="42">
        <v>3.02</v>
      </c>
      <c r="O54" s="42">
        <v>3.2</v>
      </c>
      <c r="P54" s="42">
        <v>2.91</v>
      </c>
      <c r="Q54" s="42">
        <v>2.97</v>
      </c>
      <c r="R54" s="42">
        <v>3.19</v>
      </c>
      <c r="S54" s="42">
        <v>3.79</v>
      </c>
      <c r="T54" s="42">
        <v>4.26</v>
      </c>
      <c r="U54" s="42">
        <v>7.72</v>
      </c>
      <c r="V54" s="42">
        <v>3.62</v>
      </c>
      <c r="W54" s="42">
        <v>3.04</v>
      </c>
      <c r="X54" s="42">
        <v>2.77</v>
      </c>
      <c r="Y54" s="42">
        <v>2.94</v>
      </c>
      <c r="Z54" s="42">
        <v>3.14</v>
      </c>
      <c r="AA54" s="42">
        <v>2.89</v>
      </c>
      <c r="AB54" s="42">
        <v>2.79</v>
      </c>
      <c r="AC54" s="51">
        <v>2.95</v>
      </c>
      <c r="AD54" s="40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9">
        <v>2024</v>
      </c>
      <c r="H56" s="59" t="s">
        <v>35</v>
      </c>
      <c r="I56" s="59">
        <v>2025</v>
      </c>
      <c r="J56" s="59" t="s">
        <v>35</v>
      </c>
      <c r="K56" s="59" t="s">
        <v>35</v>
      </c>
      <c r="L56" s="59" t="s">
        <v>35</v>
      </c>
      <c r="M56" s="59" t="s">
        <v>35</v>
      </c>
      <c r="N56" s="59" t="s">
        <v>35</v>
      </c>
      <c r="O56" s="59" t="s">
        <v>35</v>
      </c>
      <c r="P56" s="59" t="s">
        <v>35</v>
      </c>
      <c r="Q56" s="59">
        <v>2025</v>
      </c>
      <c r="R56" s="59" t="s">
        <v>35</v>
      </c>
      <c r="S56" s="59" t="s">
        <v>35</v>
      </c>
      <c r="T56" s="59" t="s">
        <v>35</v>
      </c>
      <c r="U56" s="59">
        <v>2026</v>
      </c>
      <c r="V56" s="59" t="s">
        <v>35</v>
      </c>
      <c r="W56" s="59" t="s">
        <v>35</v>
      </c>
      <c r="X56" s="59" t="s">
        <v>35</v>
      </c>
      <c r="Y56" s="59" t="s">
        <v>35</v>
      </c>
      <c r="Z56" s="59" t="s">
        <v>35</v>
      </c>
      <c r="AA56" s="59" t="s">
        <v>35</v>
      </c>
      <c r="AB56" s="59" t="s">
        <v>35</v>
      </c>
      <c r="AC56" s="59" t="s">
        <v>35</v>
      </c>
      <c r="AD56" s="59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8">
        <v>45597</v>
      </c>
      <c r="H57" s="58">
        <v>45627</v>
      </c>
      <c r="I57" s="58">
        <v>45658</v>
      </c>
      <c r="J57" s="58">
        <v>45689</v>
      </c>
      <c r="K57" s="58">
        <v>45717</v>
      </c>
      <c r="L57" s="58">
        <v>45748</v>
      </c>
      <c r="M57" s="58">
        <v>45778</v>
      </c>
      <c r="N57" s="58">
        <v>45809</v>
      </c>
      <c r="O57" s="58">
        <v>45839</v>
      </c>
      <c r="P57" s="58">
        <v>45870</v>
      </c>
      <c r="Q57" s="58">
        <v>45901</v>
      </c>
      <c r="R57" s="58">
        <v>45931</v>
      </c>
      <c r="S57" s="58">
        <v>45962</v>
      </c>
      <c r="T57" s="58">
        <v>45992</v>
      </c>
      <c r="U57" s="58">
        <v>46023</v>
      </c>
      <c r="V57" s="58">
        <v>46054</v>
      </c>
      <c r="W57" s="58">
        <v>46082</v>
      </c>
      <c r="X57" s="58">
        <v>46113</v>
      </c>
      <c r="Y57" s="58">
        <v>46143</v>
      </c>
      <c r="Z57" s="58">
        <v>46174</v>
      </c>
      <c r="AA57" s="58">
        <v>46204</v>
      </c>
      <c r="AB57" s="58">
        <v>46235</v>
      </c>
      <c r="AC57" s="58">
        <v>46266</v>
      </c>
      <c r="AD57" s="58">
        <v>46296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0.51307000000000003</v>
      </c>
      <c r="H58" s="28">
        <v>0.35399999999999998</v>
      </c>
      <c r="I58" s="28">
        <v>0.18267</v>
      </c>
      <c r="J58" s="28">
        <v>0.48179</v>
      </c>
      <c r="K58" s="28">
        <v>0.60070999999999997</v>
      </c>
      <c r="L58" s="28">
        <v>0.14072999999999999</v>
      </c>
      <c r="M58" s="28">
        <v>0.26552999999999999</v>
      </c>
      <c r="N58" s="28">
        <v>0.10841000000000001</v>
      </c>
      <c r="O58" s="28">
        <v>0.58401000000000003</v>
      </c>
      <c r="P58" s="28">
        <v>0.28070000000000001</v>
      </c>
      <c r="Q58" s="28">
        <v>0.31212000000000001</v>
      </c>
      <c r="R58" s="28">
        <v>0.33026</v>
      </c>
      <c r="S58" s="28">
        <v>0.44423000000000001</v>
      </c>
      <c r="T58" s="28">
        <v>9.4070000000000001E-2</v>
      </c>
      <c r="U58" s="28">
        <v>0.59570000000000001</v>
      </c>
      <c r="V58" s="28">
        <v>0.41888999999999998</v>
      </c>
      <c r="W58" s="28">
        <v>0.56420000000000003</v>
      </c>
      <c r="X58" s="28">
        <v>0.28947000000000001</v>
      </c>
      <c r="Y58" s="28">
        <v>0.35483999999999999</v>
      </c>
      <c r="Z58" s="28">
        <v>0.17197000000000001</v>
      </c>
      <c r="AA58" s="28">
        <v>0.24937999999999999</v>
      </c>
      <c r="AB58" s="28">
        <v>0.27016000000000001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0.44599</v>
      </c>
      <c r="H59" s="7">
        <v>0.37026999999999999</v>
      </c>
      <c r="I59" s="7">
        <v>0.59009</v>
      </c>
      <c r="J59" s="7">
        <v>0.36635000000000001</v>
      </c>
      <c r="K59" s="7">
        <v>0.75712000000000002</v>
      </c>
      <c r="L59" s="7">
        <v>0.83748</v>
      </c>
      <c r="M59" s="7">
        <v>-0.32040000000000002</v>
      </c>
      <c r="N59" s="28">
        <v>0.35392000000000001</v>
      </c>
      <c r="O59" s="28">
        <v>0.48064000000000001</v>
      </c>
      <c r="P59" s="28">
        <v>0.42451</v>
      </c>
      <c r="Q59" s="28">
        <v>0.41442000000000001</v>
      </c>
      <c r="R59" s="28">
        <v>8.5699999999999998E-2</v>
      </c>
      <c r="S59" s="28">
        <v>0.38944000000000001</v>
      </c>
      <c r="T59" s="28">
        <v>0.3075</v>
      </c>
      <c r="U59" s="28">
        <v>0.59633999999999998</v>
      </c>
      <c r="V59" s="28">
        <v>0.13494999999999999</v>
      </c>
      <c r="W59" s="28">
        <v>0.65976000000000001</v>
      </c>
      <c r="X59" s="28">
        <v>0.11476</v>
      </c>
      <c r="Y59" s="28">
        <v>0.72668999999999995</v>
      </c>
      <c r="Z59" s="28">
        <v>0.22686999999999999</v>
      </c>
      <c r="AA59" s="28">
        <v>0.29476999999999998</v>
      </c>
      <c r="AB59" s="28">
        <v>0.24165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0.37625999999999998</v>
      </c>
      <c r="H60" s="4">
        <v>0.30336000000000002</v>
      </c>
      <c r="I60" s="4">
        <v>0.30512</v>
      </c>
      <c r="J60" s="4">
        <v>0.28687000000000001</v>
      </c>
      <c r="K60" s="4">
        <v>0.72353000000000001</v>
      </c>
      <c r="L60" s="4">
        <v>0.88319000000000003</v>
      </c>
      <c r="M60" s="4">
        <v>-0.45624999999999999</v>
      </c>
      <c r="N60" s="29">
        <v>0.34671000000000002</v>
      </c>
      <c r="O60" s="29">
        <v>0.4476</v>
      </c>
      <c r="P60" s="29">
        <v>0.41824</v>
      </c>
      <c r="Q60" s="29">
        <v>0.39573999999999998</v>
      </c>
      <c r="R60" s="29">
        <v>1.465E-2</v>
      </c>
      <c r="S60" s="29">
        <v>0.38206000000000001</v>
      </c>
      <c r="T60" s="29">
        <v>0.35915000000000002</v>
      </c>
      <c r="U60" s="29">
        <v>0.93122000000000005</v>
      </c>
      <c r="V60" s="29">
        <v>0.14105999999999999</v>
      </c>
      <c r="W60" s="29">
        <v>0.71997999999999995</v>
      </c>
      <c r="X60" s="29">
        <v>5.3760000000000002E-2</v>
      </c>
      <c r="Y60" s="29">
        <v>0.77110999999999996</v>
      </c>
      <c r="Z60" s="29">
        <v>0.25535000000000002</v>
      </c>
      <c r="AA60" s="29">
        <v>0.36105999999999999</v>
      </c>
      <c r="AB60" s="29">
        <v>0.28399999999999997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0.18265999999999999</v>
      </c>
      <c r="H61" s="7">
        <v>7.6E-3</v>
      </c>
      <c r="I61" s="7">
        <v>-8.1659999999999996E-2</v>
      </c>
      <c r="J61" s="7">
        <v>-2.0910000000000002E-2</v>
      </c>
      <c r="K61" s="7">
        <v>0.60833000000000004</v>
      </c>
      <c r="L61" s="7">
        <v>0.60843000000000003</v>
      </c>
      <c r="M61" s="7">
        <v>-0.69301999999999997</v>
      </c>
      <c r="N61" s="7">
        <v>4.3499999999999997E-2</v>
      </c>
      <c r="O61" s="7">
        <v>0.27033000000000001</v>
      </c>
      <c r="P61" s="7">
        <v>0.13386000000000001</v>
      </c>
      <c r="Q61" s="7">
        <v>7.3429999999999995E-2</v>
      </c>
      <c r="R61" s="7">
        <v>-0.15992000000000001</v>
      </c>
      <c r="S61" s="7">
        <v>0.16017000000000001</v>
      </c>
      <c r="T61" s="7">
        <v>2.4459999999999999E-2</v>
      </c>
      <c r="U61" s="7">
        <v>0.61129999999999995</v>
      </c>
      <c r="V61" s="7">
        <v>-0.21686</v>
      </c>
      <c r="W61" s="7">
        <v>7.6819999999999999E-2</v>
      </c>
      <c r="X61" s="7">
        <v>-0.39501999999999998</v>
      </c>
      <c r="Y61" s="7">
        <v>0.31389</v>
      </c>
      <c r="Z61" s="7">
        <v>0.33726</v>
      </c>
      <c r="AA61" s="7">
        <v>0.28383999999999998</v>
      </c>
      <c r="AB61" s="54">
        <v>-5.3999999999999999E-2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5.7</v>
      </c>
      <c r="H62" s="7">
        <v>5.0999999999999996</v>
      </c>
      <c r="I62" s="7">
        <v>5.7</v>
      </c>
      <c r="J62" s="7">
        <v>5.7</v>
      </c>
      <c r="K62" s="7">
        <v>5.7</v>
      </c>
      <c r="L62" s="7">
        <v>6.2</v>
      </c>
      <c r="M62" s="7">
        <v>5.7</v>
      </c>
      <c r="N62" s="7">
        <v>5.5</v>
      </c>
      <c r="O62" s="7">
        <v>5.3</v>
      </c>
      <c r="P62" s="7">
        <v>5.2</v>
      </c>
      <c r="Q62" s="7">
        <v>5.0999999999999996</v>
      </c>
      <c r="R62" s="7">
        <v>4.9000000000000004</v>
      </c>
      <c r="S62" s="7">
        <v>4.9000000000000004</v>
      </c>
      <c r="T62" s="7">
        <v>5</v>
      </c>
      <c r="U62" s="7">
        <v>5.6</v>
      </c>
      <c r="V62" s="7">
        <v>5.3</v>
      </c>
      <c r="W62" s="7">
        <v>5.0999999999999996</v>
      </c>
      <c r="X62" s="7">
        <v>4.4000000000000004</v>
      </c>
      <c r="Y62" s="7">
        <v>4.4000000000000004</v>
      </c>
      <c r="Z62" s="7">
        <v>4.4000000000000004</v>
      </c>
      <c r="AA62" s="7">
        <v>4.5999999999999996</v>
      </c>
      <c r="AB62" s="54">
        <v>4.0999999999999996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0.52466999999999997</v>
      </c>
      <c r="H63" s="4">
        <v>1.0216400000000001</v>
      </c>
      <c r="I63" s="4">
        <v>-0.28495999999999999</v>
      </c>
      <c r="J63" s="29">
        <v>0.18382000000000001</v>
      </c>
      <c r="K63" s="29">
        <v>0.76378000000000001</v>
      </c>
      <c r="L63" s="29">
        <v>0.29232000000000002</v>
      </c>
      <c r="M63" s="29">
        <v>5.7619999999999998E-2</v>
      </c>
      <c r="N63" s="29">
        <v>0.64502000000000004</v>
      </c>
      <c r="O63" s="29">
        <v>0.61443999999999999</v>
      </c>
      <c r="P63" s="29">
        <v>0.48884</v>
      </c>
      <c r="Q63" s="29">
        <v>0.46126</v>
      </c>
      <c r="R63" s="29">
        <v>0.33085999999999999</v>
      </c>
      <c r="S63" s="29">
        <v>0.36703999999999998</v>
      </c>
      <c r="T63" s="29">
        <v>0.29049000000000003</v>
      </c>
      <c r="U63" s="29">
        <v>0.22075</v>
      </c>
      <c r="V63" s="29">
        <v>0.55605000000000004</v>
      </c>
      <c r="W63" s="29">
        <v>0.88782000000000005</v>
      </c>
      <c r="X63" s="29">
        <v>0.75600999999999996</v>
      </c>
      <c r="Y63" s="29">
        <v>0.77915999999999996</v>
      </c>
      <c r="Z63" s="29">
        <v>0.31007000000000001</v>
      </c>
      <c r="AA63" s="29">
        <v>0.10047</v>
      </c>
      <c r="AB63" s="29">
        <v>0.86265999999999998</v>
      </c>
      <c r="AC63" s="4" t="e">
        <v>#N/A</v>
      </c>
      <c r="AD63" s="4" t="e">
        <v>#N/A</v>
      </c>
      <c r="AH63" t="s">
        <v>21</v>
      </c>
    </row>
    <row r="64" spans="1:34" ht="16.5" thickBot="1" x14ac:dyDescent="0.3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0.37689</v>
      </c>
      <c r="H64" s="7">
        <v>0.76326000000000005</v>
      </c>
      <c r="I64" s="7">
        <v>-0.63407999999999998</v>
      </c>
      <c r="J64" s="7">
        <v>-9.2219999999999996E-2</v>
      </c>
      <c r="K64" s="7">
        <v>0.68301999999999996</v>
      </c>
      <c r="L64" s="7">
        <v>5.9279999999999999E-2</v>
      </c>
      <c r="M64" s="7">
        <v>-0.13682</v>
      </c>
      <c r="N64" s="7">
        <v>0.38961000000000001</v>
      </c>
      <c r="O64" s="7">
        <v>0.47461999999999999</v>
      </c>
      <c r="P64" s="7">
        <v>0.23346</v>
      </c>
      <c r="Q64" s="7">
        <v>0.16879</v>
      </c>
      <c r="R64" s="7">
        <v>0.18179000000000001</v>
      </c>
      <c r="S64" s="7">
        <v>0.16699</v>
      </c>
      <c r="T64" s="7">
        <v>-2.8889999999999999E-2</v>
      </c>
      <c r="U64" s="7">
        <v>-8.3080000000000001E-2</v>
      </c>
      <c r="V64" s="28">
        <v>0.20787</v>
      </c>
      <c r="W64" s="28">
        <v>0.25855</v>
      </c>
      <c r="X64" s="28">
        <v>0.31845000000000001</v>
      </c>
      <c r="Y64" s="28">
        <v>0.34194999999999998</v>
      </c>
      <c r="Z64" s="28">
        <v>0.41347</v>
      </c>
      <c r="AA64" s="28">
        <v>5.0430000000000003E-2</v>
      </c>
      <c r="AB64" s="28">
        <v>0.55032999999999999</v>
      </c>
      <c r="AC64" s="7" t="e">
        <v>#N/A</v>
      </c>
      <c r="AD64" s="7" t="e">
        <v>#N/A</v>
      </c>
      <c r="AH64" t="s">
        <v>21</v>
      </c>
    </row>
    <row r="65" spans="1:34" ht="17.25" thickTop="1" thickBot="1" x14ac:dyDescent="0.3">
      <c r="A65" s="1">
        <v>137</v>
      </c>
      <c r="B65" s="1" t="s">
        <v>75</v>
      </c>
      <c r="C65" s="16" t="s">
        <v>8</v>
      </c>
      <c r="D65" s="24">
        <v>46310.876238425924</v>
      </c>
      <c r="E65" s="23">
        <v>46343.876238425932</v>
      </c>
      <c r="F65" s="48" t="s">
        <v>74</v>
      </c>
      <c r="G65" s="7">
        <v>0.6</v>
      </c>
      <c r="H65" s="57">
        <v>0.9</v>
      </c>
      <c r="I65" s="56">
        <v>-0.7</v>
      </c>
      <c r="J65" s="56">
        <v>-0.5</v>
      </c>
      <c r="K65" s="56">
        <v>1.6</v>
      </c>
      <c r="L65" s="56">
        <v>0.1</v>
      </c>
      <c r="M65" s="56">
        <v>-1.4</v>
      </c>
      <c r="N65" s="56">
        <v>0.9</v>
      </c>
      <c r="O65" s="56">
        <v>0.9</v>
      </c>
      <c r="P65" s="7">
        <v>0.3</v>
      </c>
      <c r="Q65" s="57">
        <v>0.1</v>
      </c>
      <c r="R65" s="56">
        <v>0</v>
      </c>
      <c r="S65" s="56">
        <v>0.7</v>
      </c>
      <c r="T65" s="56">
        <v>0.1</v>
      </c>
      <c r="U65" s="56">
        <v>-0.6</v>
      </c>
      <c r="V65" s="7">
        <v>0.9</v>
      </c>
      <c r="W65" s="7">
        <v>1.7</v>
      </c>
      <c r="X65" s="57">
        <v>0.6</v>
      </c>
      <c r="Y65" s="56">
        <v>1</v>
      </c>
      <c r="Z65" s="56">
        <v>0.2</v>
      </c>
      <c r="AA65" s="56">
        <v>-0.4</v>
      </c>
      <c r="AB65" s="55">
        <v>1.3</v>
      </c>
      <c r="AC65" s="7" t="e">
        <v>#N/A</v>
      </c>
      <c r="AD65" s="7" t="e">
        <v>#N/A</v>
      </c>
      <c r="AH65" t="s">
        <v>21</v>
      </c>
    </row>
    <row r="66" spans="1:34" ht="16.5" thickTop="1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-5898.6600000000999</v>
      </c>
      <c r="H66" s="18">
        <v>-118460.19999999899</v>
      </c>
      <c r="I66" s="18">
        <v>8389.8399999998001</v>
      </c>
      <c r="J66" s="18">
        <v>1988.0499999998999</v>
      </c>
      <c r="K66" s="18">
        <v>64256.780000000203</v>
      </c>
      <c r="L66" s="18">
        <v>16349.9100000002</v>
      </c>
      <c r="M66" s="18">
        <v>10067.6099999994</v>
      </c>
      <c r="N66" s="18">
        <v>-4747.9299999997002</v>
      </c>
      <c r="O66" s="17">
        <v>12380.450000000201</v>
      </c>
      <c r="P66" s="17">
        <v>2675.4899999992999</v>
      </c>
      <c r="Q66" s="17">
        <v>13373.54</v>
      </c>
      <c r="R66" s="17">
        <v>7801.3400000007996</v>
      </c>
      <c r="S66" s="17">
        <v>3314.7999999998001</v>
      </c>
      <c r="T66" s="17">
        <v>15741.370000000101</v>
      </c>
      <c r="U66" s="17">
        <v>4391.6399999997002</v>
      </c>
      <c r="V66" s="17">
        <v>7178.3200000002998</v>
      </c>
      <c r="W66" s="17">
        <v>21037.989999999299</v>
      </c>
      <c r="X66" s="17">
        <v>21099.140000000501</v>
      </c>
      <c r="Y66" s="17">
        <v>2893.5700000002998</v>
      </c>
      <c r="Z66" s="17">
        <v>15336.2599999998</v>
      </c>
      <c r="AA66" s="17">
        <v>17740.089999999898</v>
      </c>
      <c r="AB66" s="17">
        <v>8280.6100000003007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7.28E-3</v>
      </c>
      <c r="H67" s="7">
        <v>1.4104000000000001</v>
      </c>
      <c r="I67" s="7">
        <v>-0.31836999999999999</v>
      </c>
      <c r="J67" s="7">
        <v>0.82128999999999996</v>
      </c>
      <c r="K67" s="7">
        <v>-0.25247999999999998</v>
      </c>
      <c r="L67" s="7">
        <v>-0.31519999999999998</v>
      </c>
      <c r="M67" s="7">
        <v>5.7489999999999999E-2</v>
      </c>
      <c r="N67" s="7">
        <v>0.95043999999999995</v>
      </c>
      <c r="O67" s="7">
        <v>0.19683999999999999</v>
      </c>
      <c r="P67" s="7">
        <v>0.72899000000000003</v>
      </c>
      <c r="Q67" s="7">
        <v>0.31251000000000001</v>
      </c>
      <c r="R67" s="7">
        <v>-1.405E-2</v>
      </c>
      <c r="S67" s="7">
        <v>0.33500999999999997</v>
      </c>
      <c r="T67" s="7">
        <v>6.7710000000000006E-2</v>
      </c>
      <c r="U67" s="7">
        <v>-0.23100000000000001</v>
      </c>
      <c r="V67" s="7">
        <v>0.74138000000000004</v>
      </c>
      <c r="W67" s="7">
        <v>2.4561799999999998</v>
      </c>
      <c r="X67" s="7">
        <v>1.14653</v>
      </c>
      <c r="Y67" s="7">
        <v>0.50180000000000002</v>
      </c>
      <c r="Z67" s="7">
        <v>-0.55057</v>
      </c>
      <c r="AA67" s="7">
        <v>-0.48637000000000002</v>
      </c>
      <c r="AB67" s="28">
        <v>1.49102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2.674E-2</v>
      </c>
      <c r="H68" s="7">
        <v>0.60152000000000005</v>
      </c>
      <c r="I68" s="7">
        <v>0.78395000000000004</v>
      </c>
      <c r="J68" s="7">
        <v>-0.39551999999999998</v>
      </c>
      <c r="K68" s="7">
        <v>-0.18531</v>
      </c>
      <c r="L68" s="7">
        <v>-0.42435</v>
      </c>
      <c r="M68" s="7">
        <v>0.43947000000000003</v>
      </c>
      <c r="N68" s="7">
        <v>-0.66295000000000004</v>
      </c>
      <c r="O68" s="7">
        <v>0.86758999999999997</v>
      </c>
      <c r="P68" s="7">
        <v>-0.88660000000000005</v>
      </c>
      <c r="Q68" s="7">
        <v>0.77437</v>
      </c>
      <c r="R68" s="7">
        <v>0.25172</v>
      </c>
      <c r="S68" s="7">
        <v>0.74006000000000005</v>
      </c>
      <c r="T68" s="7">
        <v>1.33806</v>
      </c>
      <c r="U68" s="7">
        <v>0.37540000000000001</v>
      </c>
      <c r="V68" s="7">
        <v>1.3799300000000001</v>
      </c>
      <c r="W68" s="7">
        <v>0.16536999999999999</v>
      </c>
      <c r="X68" s="7">
        <v>3.8100000000000002E-2</v>
      </c>
      <c r="Y68" s="7">
        <v>-0.36815999999999999</v>
      </c>
      <c r="Z68" s="7">
        <v>0.79000999999999999</v>
      </c>
      <c r="AA68" s="7">
        <v>0.27812999999999999</v>
      </c>
      <c r="AB68" s="54">
        <v>-0.46645999999999999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8" t="s">
        <v>65</v>
      </c>
      <c r="G71" s="7">
        <v>8.6956699999999998</v>
      </c>
      <c r="H71" s="7">
        <v>2.47933</v>
      </c>
      <c r="I71" s="7">
        <v>4.59579</v>
      </c>
      <c r="J71" s="7">
        <v>3.2519200000000001</v>
      </c>
      <c r="K71" s="7">
        <v>2.9098799999999998</v>
      </c>
      <c r="L71" s="7">
        <v>4.3796799999999996</v>
      </c>
      <c r="M71" s="7">
        <v>2.65448</v>
      </c>
      <c r="N71" s="7">
        <v>5.5369099999999998</v>
      </c>
      <c r="O71" s="7">
        <v>3.7500200000000001</v>
      </c>
      <c r="P71" s="7">
        <v>2.3608099999999999</v>
      </c>
      <c r="Q71" s="7">
        <v>4.1466700000000003</v>
      </c>
      <c r="R71" s="7">
        <v>5.23123</v>
      </c>
      <c r="S71" s="7">
        <v>2.10589</v>
      </c>
      <c r="T71" s="7">
        <v>4.8033700000000001</v>
      </c>
      <c r="U71" s="7">
        <v>6.0043300000000004</v>
      </c>
      <c r="V71" s="7">
        <v>11.913349999999999</v>
      </c>
      <c r="W71" s="7">
        <v>2.2093400000000001</v>
      </c>
      <c r="X71" s="54">
        <v>5.6001500000000002</v>
      </c>
      <c r="Y71" s="54">
        <v>14.46053</v>
      </c>
      <c r="Z71" s="54">
        <v>5.1271599999999999</v>
      </c>
      <c r="AA71" s="54">
        <v>5.8182900000000002</v>
      </c>
      <c r="AB71" s="54">
        <v>6.4976500000000001</v>
      </c>
      <c r="AC71" s="7" t="e">
        <v>#N/A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9">
        <v>46322.542708333334</v>
      </c>
      <c r="F72" s="48" t="s">
        <v>63</v>
      </c>
      <c r="G72" s="7">
        <v>6.84809</v>
      </c>
      <c r="H72" s="7">
        <v>1.8557600000000001</v>
      </c>
      <c r="I72" s="7">
        <v>2.9257599999999999</v>
      </c>
      <c r="J72" s="7">
        <v>3.8491300000000002</v>
      </c>
      <c r="K72" s="7">
        <v>4.3554000000000004</v>
      </c>
      <c r="L72" s="7">
        <v>4.9049199999999997</v>
      </c>
      <c r="M72" s="7">
        <v>3.6592899999999999</v>
      </c>
      <c r="N72" s="7">
        <v>6.01227</v>
      </c>
      <c r="O72" s="7">
        <v>4.6347500000000004</v>
      </c>
      <c r="P72" s="7">
        <v>3.7119900000000001</v>
      </c>
      <c r="Q72" s="7">
        <v>4.6309300000000002</v>
      </c>
      <c r="R72" s="7">
        <v>4.0617900000000002</v>
      </c>
      <c r="S72" s="7">
        <v>1.6300399999999999</v>
      </c>
      <c r="T72" s="7">
        <v>4.1431199999999997</v>
      </c>
      <c r="U72" s="7">
        <v>3.1636899999999999</v>
      </c>
      <c r="V72" s="7">
        <v>10.38462</v>
      </c>
      <c r="W72" s="7">
        <v>2.2314799999999999</v>
      </c>
      <c r="X72" s="54">
        <v>6.3414000000000001</v>
      </c>
      <c r="Y72" s="54">
        <v>14.432359999999999</v>
      </c>
      <c r="Z72" s="54">
        <v>5.4063699999999999</v>
      </c>
      <c r="AA72" s="54">
        <v>5.4802200000000001</v>
      </c>
      <c r="AB72" s="54">
        <v>6.6498299999999997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-79756</v>
      </c>
      <c r="H73" s="18">
        <v>-96849</v>
      </c>
      <c r="I73" s="18">
        <v>-124704</v>
      </c>
      <c r="J73" s="18">
        <v>-117069</v>
      </c>
      <c r="K73" s="18">
        <v>-132983</v>
      </c>
      <c r="L73" s="18">
        <v>-60341</v>
      </c>
      <c r="M73" s="18">
        <v>-66748</v>
      </c>
      <c r="N73" s="18">
        <v>-58697</v>
      </c>
      <c r="O73" s="18">
        <v>-75062</v>
      </c>
      <c r="P73" s="18">
        <v>-59642</v>
      </c>
      <c r="Q73" s="18">
        <v>-59392</v>
      </c>
      <c r="R73" s="18">
        <v>-37376</v>
      </c>
      <c r="S73" s="18">
        <v>-63868</v>
      </c>
      <c r="T73" s="18">
        <v>-76078</v>
      </c>
      <c r="U73" s="18">
        <v>-52670</v>
      </c>
      <c r="V73" s="18">
        <v>-52500</v>
      </c>
      <c r="W73" s="18">
        <v>-53657</v>
      </c>
      <c r="X73" s="18">
        <v>-52883</v>
      </c>
      <c r="Y73" s="18">
        <v>-75752</v>
      </c>
      <c r="Z73" s="18">
        <v>-71182</v>
      </c>
      <c r="AA73" s="17">
        <v>-92826</v>
      </c>
      <c r="AB73" s="17">
        <v>-105572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46308.678611111114</v>
      </c>
      <c r="E74" s="49">
        <v>46311.678611111114</v>
      </c>
      <c r="F74" s="48" t="s">
        <v>57</v>
      </c>
      <c r="G74" s="40">
        <v>4.42</v>
      </c>
      <c r="H74" s="40">
        <v>4.2699999999999996</v>
      </c>
      <c r="I74" s="40">
        <v>4.21</v>
      </c>
      <c r="J74" s="40">
        <v>4.22</v>
      </c>
      <c r="K74" s="40">
        <v>4.2</v>
      </c>
      <c r="L74" s="40">
        <v>4.21</v>
      </c>
      <c r="M74" s="40">
        <v>4.25</v>
      </c>
      <c r="N74" s="40">
        <v>4.2300000000000004</v>
      </c>
      <c r="O74" s="40">
        <v>4.25</v>
      </c>
      <c r="P74" s="40">
        <v>4.12</v>
      </c>
      <c r="Q74" s="40">
        <v>3.92</v>
      </c>
      <c r="R74" s="40">
        <v>3.82</v>
      </c>
      <c r="S74" s="40">
        <v>3.78</v>
      </c>
      <c r="T74" s="40">
        <v>3.59</v>
      </c>
      <c r="U74" s="40">
        <v>3.57</v>
      </c>
      <c r="V74" s="40">
        <v>3.6</v>
      </c>
      <c r="W74" s="40">
        <v>3.61</v>
      </c>
      <c r="X74" s="40">
        <v>3.61</v>
      </c>
      <c r="Y74" s="40">
        <v>3.6</v>
      </c>
      <c r="Z74" s="40">
        <v>3.66</v>
      </c>
      <c r="AA74" s="40">
        <v>3.73</v>
      </c>
      <c r="AB74" s="40">
        <v>3.72</v>
      </c>
      <c r="AC74" s="40">
        <v>3.94</v>
      </c>
      <c r="AD74" s="40" t="s">
        <v>35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2">
        <v>46311.678460648138</v>
      </c>
      <c r="F75" s="43" t="s">
        <v>55</v>
      </c>
      <c r="G75" s="40">
        <v>7.81</v>
      </c>
      <c r="H75" s="40">
        <v>7.65</v>
      </c>
      <c r="I75" s="40">
        <v>7.5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7.38</v>
      </c>
      <c r="R75" s="40">
        <v>7.23</v>
      </c>
      <c r="S75" s="40">
        <v>7</v>
      </c>
      <c r="T75" s="40">
        <v>6.84</v>
      </c>
      <c r="U75" s="40">
        <v>6.75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6.86</v>
      </c>
      <c r="AD75" s="40" t="s">
        <v>35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46308.678576388891</v>
      </c>
      <c r="E76" s="53">
        <v>46311.678576388891</v>
      </c>
      <c r="F76" s="47" t="s">
        <v>53</v>
      </c>
      <c r="G76" s="44">
        <v>4.26</v>
      </c>
      <c r="H76" s="44">
        <v>4.2300000000000004</v>
      </c>
      <c r="I76" s="44">
        <v>4.2699999999999996</v>
      </c>
      <c r="J76" s="44">
        <v>4.21</v>
      </c>
      <c r="K76" s="44">
        <v>3.97</v>
      </c>
      <c r="L76" s="44">
        <v>3.78</v>
      </c>
      <c r="M76" s="44">
        <v>3.92</v>
      </c>
      <c r="N76" s="44">
        <v>3.89</v>
      </c>
      <c r="O76" s="44">
        <v>3.88</v>
      </c>
      <c r="P76" s="44">
        <v>3.7</v>
      </c>
      <c r="Q76" s="44">
        <v>3.57</v>
      </c>
      <c r="R76" s="44">
        <v>3.52</v>
      </c>
      <c r="S76" s="44">
        <v>3.55</v>
      </c>
      <c r="T76" s="44">
        <v>3.5</v>
      </c>
      <c r="U76" s="44">
        <v>3.54</v>
      </c>
      <c r="V76" s="44">
        <v>3.47</v>
      </c>
      <c r="W76" s="44">
        <v>3.71</v>
      </c>
      <c r="X76" s="44">
        <v>3.8</v>
      </c>
      <c r="Y76" s="44">
        <v>4</v>
      </c>
      <c r="Z76" s="44">
        <v>4.1100000000000003</v>
      </c>
      <c r="AA76" s="44">
        <v>4.22</v>
      </c>
      <c r="AB76" s="44">
        <v>4.22</v>
      </c>
      <c r="AC76" s="44">
        <v>4.6500000000000004</v>
      </c>
      <c r="AD76" s="44" t="s">
        <v>35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46308.678483796299</v>
      </c>
      <c r="E77" s="52">
        <v>46311.678483796306</v>
      </c>
      <c r="F77" s="48" t="s">
        <v>51</v>
      </c>
      <c r="G77" s="40">
        <v>4.3600000000000003</v>
      </c>
      <c r="H77" s="40">
        <v>4.3899999999999997</v>
      </c>
      <c r="I77" s="40">
        <v>4.63</v>
      </c>
      <c r="J77" s="40">
        <v>4.45</v>
      </c>
      <c r="K77" s="40">
        <v>4.28</v>
      </c>
      <c r="L77" s="40">
        <v>4.28</v>
      </c>
      <c r="M77" s="40">
        <v>4.42</v>
      </c>
      <c r="N77" s="40">
        <v>4.38</v>
      </c>
      <c r="O77" s="40">
        <v>4.3899999999999997</v>
      </c>
      <c r="P77" s="40">
        <v>4.26</v>
      </c>
      <c r="Q77" s="40">
        <v>4.12</v>
      </c>
      <c r="R77" s="40">
        <v>4.0599999999999996</v>
      </c>
      <c r="S77" s="40">
        <v>4.09</v>
      </c>
      <c r="T77" s="40">
        <v>4.1399999999999997</v>
      </c>
      <c r="U77" s="40">
        <v>4.21</v>
      </c>
      <c r="V77" s="40">
        <v>4.13</v>
      </c>
      <c r="W77" s="40">
        <v>4.25</v>
      </c>
      <c r="X77" s="40">
        <v>4.32</v>
      </c>
      <c r="Y77" s="40">
        <v>4.4800000000000004</v>
      </c>
      <c r="Z77" s="40">
        <v>4.47</v>
      </c>
      <c r="AA77" s="40">
        <v>4.5999999999999996</v>
      </c>
      <c r="AB77" s="40">
        <v>4.68</v>
      </c>
      <c r="AC77" s="40">
        <v>4.99</v>
      </c>
      <c r="AD77" s="40" t="s">
        <v>35</v>
      </c>
      <c r="AH77" t="s">
        <v>44</v>
      </c>
    </row>
    <row r="78" spans="1:34" ht="15.75" x14ac:dyDescent="0.25">
      <c r="A78" s="43">
        <v>145</v>
      </c>
      <c r="B78" s="43" t="s">
        <v>50</v>
      </c>
      <c r="C78" s="16" t="s">
        <v>42</v>
      </c>
      <c r="D78" s="24">
        <v>46296.710868055554</v>
      </c>
      <c r="E78" s="52">
        <v>46311.710868055554</v>
      </c>
      <c r="F78" s="43" t="s">
        <v>49</v>
      </c>
      <c r="G78" s="42">
        <v>0.1</v>
      </c>
      <c r="H78" s="42">
        <v>0.16</v>
      </c>
      <c r="I78" s="42">
        <v>0.36</v>
      </c>
      <c r="J78" s="42">
        <v>0.24</v>
      </c>
      <c r="K78" s="42">
        <v>0.31</v>
      </c>
      <c r="L78" s="42">
        <v>0.5</v>
      </c>
      <c r="M78" s="42">
        <v>0.5</v>
      </c>
      <c r="N78" s="42">
        <v>0.49</v>
      </c>
      <c r="O78" s="42">
        <v>0.51</v>
      </c>
      <c r="P78" s="42">
        <v>0.56000000000000005</v>
      </c>
      <c r="Q78" s="42">
        <v>0.55000000000000004</v>
      </c>
      <c r="R78" s="42">
        <v>0.54</v>
      </c>
      <c r="S78" s="42">
        <v>0.54</v>
      </c>
      <c r="T78" s="42">
        <v>0.64</v>
      </c>
      <c r="U78" s="42">
        <v>0.67</v>
      </c>
      <c r="V78" s="42">
        <v>0.66</v>
      </c>
      <c r="W78" s="42">
        <v>0.54</v>
      </c>
      <c r="X78" s="42">
        <v>0.52</v>
      </c>
      <c r="Y78" s="42">
        <v>0.48</v>
      </c>
      <c r="Z78" s="42">
        <v>0.36</v>
      </c>
      <c r="AA78" s="42">
        <v>0.38</v>
      </c>
      <c r="AB78" s="42">
        <v>0.46</v>
      </c>
      <c r="AC78" s="51">
        <v>0.34</v>
      </c>
      <c r="AD78" s="42" t="e">
        <v>#N/A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46308.678437499999</v>
      </c>
      <c r="E79" s="50">
        <v>46311.678437499999</v>
      </c>
      <c r="F79" s="47" t="s">
        <v>47</v>
      </c>
      <c r="G79" s="44">
        <v>2.0299999999999998</v>
      </c>
      <c r="H79" s="44">
        <v>2.09</v>
      </c>
      <c r="I79" s="44">
        <v>2.23</v>
      </c>
      <c r="J79" s="44">
        <v>2.0299999999999998</v>
      </c>
      <c r="K79" s="44">
        <v>1.95</v>
      </c>
      <c r="L79" s="44">
        <v>2.04</v>
      </c>
      <c r="M79" s="44">
        <v>2.11</v>
      </c>
      <c r="N79" s="44">
        <v>2.09</v>
      </c>
      <c r="O79" s="44">
        <v>2.0099999999999998</v>
      </c>
      <c r="P79" s="44">
        <v>1.88</v>
      </c>
      <c r="Q79" s="44">
        <v>1.75</v>
      </c>
      <c r="R79" s="44">
        <v>1.76</v>
      </c>
      <c r="S79" s="44">
        <v>1.83</v>
      </c>
      <c r="T79" s="44">
        <v>1.9</v>
      </c>
      <c r="U79" s="44">
        <v>1.91</v>
      </c>
      <c r="V79" s="44">
        <v>1.82</v>
      </c>
      <c r="W79" s="44">
        <v>1.91</v>
      </c>
      <c r="X79" s="44">
        <v>1.94</v>
      </c>
      <c r="Y79" s="44">
        <v>2.04</v>
      </c>
      <c r="Z79" s="44">
        <v>2.1800000000000002</v>
      </c>
      <c r="AA79" s="44">
        <v>2.35</v>
      </c>
      <c r="AB79" s="44">
        <v>2.4</v>
      </c>
      <c r="AC79" s="44">
        <v>2.64</v>
      </c>
      <c r="AD79" s="44" t="s">
        <v>35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46308.678587962961</v>
      </c>
      <c r="E80" s="49">
        <v>46311.678587962961</v>
      </c>
      <c r="F80" s="48" t="s">
        <v>45</v>
      </c>
      <c r="G80" s="40">
        <v>4.54</v>
      </c>
      <c r="H80" s="40">
        <v>4.58</v>
      </c>
      <c r="I80" s="40">
        <v>4.8499999999999996</v>
      </c>
      <c r="J80" s="40">
        <v>4.68</v>
      </c>
      <c r="K80" s="40">
        <v>4.5999999999999996</v>
      </c>
      <c r="L80" s="40">
        <v>4.71</v>
      </c>
      <c r="M80" s="40">
        <v>4.9000000000000004</v>
      </c>
      <c r="N80" s="40">
        <v>4.8899999999999997</v>
      </c>
      <c r="O80" s="40">
        <v>4.92</v>
      </c>
      <c r="P80" s="40">
        <v>4.87</v>
      </c>
      <c r="Q80" s="40">
        <v>4.74</v>
      </c>
      <c r="R80" s="40">
        <v>4.6399999999999997</v>
      </c>
      <c r="S80" s="40">
        <v>4.7</v>
      </c>
      <c r="T80" s="40">
        <v>4.8</v>
      </c>
      <c r="U80" s="40">
        <v>4.84</v>
      </c>
      <c r="V80" s="40">
        <v>4.76</v>
      </c>
      <c r="W80" s="40">
        <v>4.8499999999999996</v>
      </c>
      <c r="X80" s="40">
        <v>4.91</v>
      </c>
      <c r="Y80" s="40">
        <v>5.03</v>
      </c>
      <c r="Z80" s="40">
        <v>4.95</v>
      </c>
      <c r="AA80" s="40">
        <v>5.0999999999999996</v>
      </c>
      <c r="AB80" s="40">
        <v>5.22</v>
      </c>
      <c r="AC80" s="40">
        <v>5.37</v>
      </c>
      <c r="AD80" s="40" t="s">
        <v>35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46308.710844907408</v>
      </c>
      <c r="E81" s="14">
        <v>46311.710844907415</v>
      </c>
      <c r="F81" s="43" t="s">
        <v>41</v>
      </c>
      <c r="G81" s="42">
        <v>-0.26</v>
      </c>
      <c r="H81" s="42">
        <v>0</v>
      </c>
      <c r="I81" s="42">
        <v>0.28999999999999998</v>
      </c>
      <c r="J81" s="42">
        <v>0.12</v>
      </c>
      <c r="K81" s="42">
        <v>-0.06</v>
      </c>
      <c r="L81" s="42">
        <v>-0.04</v>
      </c>
      <c r="M81" s="42">
        <v>0.06</v>
      </c>
      <c r="N81" s="42">
        <v>-0.04</v>
      </c>
      <c r="O81" s="42">
        <v>-0.02</v>
      </c>
      <c r="P81" s="42">
        <v>-0.04</v>
      </c>
      <c r="Q81" s="42">
        <v>0.05</v>
      </c>
      <c r="R81" s="42">
        <v>0.08</v>
      </c>
      <c r="S81" s="42">
        <v>0.16</v>
      </c>
      <c r="T81" s="42">
        <v>0.46</v>
      </c>
      <c r="U81" s="42">
        <v>0.55000000000000004</v>
      </c>
      <c r="V81" s="42">
        <v>0.44</v>
      </c>
      <c r="W81" s="42">
        <v>0.53</v>
      </c>
      <c r="X81" s="42">
        <v>0.62</v>
      </c>
      <c r="Y81" s="42">
        <v>0.8</v>
      </c>
      <c r="Z81" s="42">
        <v>0.66</v>
      </c>
      <c r="AA81" s="41">
        <v>0.73</v>
      </c>
      <c r="AB81" s="41">
        <v>0.81</v>
      </c>
      <c r="AC81" s="41">
        <v>0.9</v>
      </c>
      <c r="AD81" s="40" t="s">
        <v>35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46308.678506944445</v>
      </c>
      <c r="E82" s="20">
        <v>46314.678506944445</v>
      </c>
      <c r="F82" s="47" t="s">
        <v>39</v>
      </c>
      <c r="G82" s="46">
        <v>1.0621</v>
      </c>
      <c r="H82" s="46">
        <v>1.0471999999999999</v>
      </c>
      <c r="I82" s="46">
        <v>1.0356000000000001</v>
      </c>
      <c r="J82" s="46">
        <v>1.0412999999999999</v>
      </c>
      <c r="K82" s="46">
        <v>1.0812999999999999</v>
      </c>
      <c r="L82" s="46">
        <v>1.1232</v>
      </c>
      <c r="M82" s="46">
        <v>1.1274</v>
      </c>
      <c r="N82" s="46">
        <v>1.1534</v>
      </c>
      <c r="O82" s="46">
        <v>1.1671</v>
      </c>
      <c r="P82" s="46">
        <v>1.1647000000000001</v>
      </c>
      <c r="Q82" s="46">
        <v>1.1738999999999999</v>
      </c>
      <c r="R82" s="46">
        <v>1.1640999999999999</v>
      </c>
      <c r="S82" s="46">
        <v>1.1557999999999999</v>
      </c>
      <c r="T82" s="46">
        <v>1.171</v>
      </c>
      <c r="U82" s="46">
        <v>1.1744000000000001</v>
      </c>
      <c r="V82" s="46">
        <v>1.1823999999999999</v>
      </c>
      <c r="W82" s="46">
        <v>1.1556999999999999</v>
      </c>
      <c r="X82" s="46">
        <v>1.1697</v>
      </c>
      <c r="Y82" s="46">
        <v>1.1680999999999999</v>
      </c>
      <c r="Z82" s="46">
        <v>1.1516</v>
      </c>
      <c r="AA82" s="46">
        <v>1.1423000000000001</v>
      </c>
      <c r="AB82" s="46">
        <v>1.1594</v>
      </c>
      <c r="AC82" s="45">
        <v>1.1505000000000001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46308.678599537037</v>
      </c>
      <c r="E83" s="23">
        <v>46314.67859953703</v>
      </c>
      <c r="F83" s="43" t="s">
        <v>36</v>
      </c>
      <c r="G83" s="42">
        <v>126.3113</v>
      </c>
      <c r="H83" s="42">
        <v>127.5758</v>
      </c>
      <c r="I83" s="42">
        <v>128.83699999999999</v>
      </c>
      <c r="J83" s="42">
        <v>127.8758</v>
      </c>
      <c r="K83" s="42">
        <v>126.24299999999999</v>
      </c>
      <c r="L83" s="42">
        <v>124.14019999999999</v>
      </c>
      <c r="M83" s="42">
        <v>122.34220000000001</v>
      </c>
      <c r="N83" s="42">
        <v>120.5939</v>
      </c>
      <c r="O83" s="42">
        <v>120.1127</v>
      </c>
      <c r="P83" s="42">
        <v>120.5758</v>
      </c>
      <c r="Q83" s="42">
        <v>120.0291</v>
      </c>
      <c r="R83" s="42">
        <v>120.76179999999999</v>
      </c>
      <c r="S83" s="42">
        <v>121.4177</v>
      </c>
      <c r="T83" s="42">
        <v>120.1883</v>
      </c>
      <c r="U83" s="42">
        <v>119.2298</v>
      </c>
      <c r="V83" s="42">
        <v>117.90600000000001</v>
      </c>
      <c r="W83" s="42">
        <v>119.9199</v>
      </c>
      <c r="X83" s="42">
        <v>119.0363</v>
      </c>
      <c r="Y83" s="42">
        <v>118.7792</v>
      </c>
      <c r="Z83" s="42">
        <v>120.0834</v>
      </c>
      <c r="AA83" s="42">
        <v>120.59699999999999</v>
      </c>
      <c r="AB83" s="42">
        <v>118.85120000000001</v>
      </c>
      <c r="AC83" s="41">
        <v>119.2152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2.5951300000000002</v>
      </c>
      <c r="H119" s="8">
        <v>2.66351</v>
      </c>
      <c r="I119" s="8">
        <v>2.08264</v>
      </c>
      <c r="J119" s="8">
        <v>1.8511500000000001</v>
      </c>
      <c r="K119" s="8">
        <v>0.10714000000000001</v>
      </c>
      <c r="L119" s="8">
        <v>-0.20721000000000001</v>
      </c>
      <c r="M119" s="8">
        <v>-0.63792000000000004</v>
      </c>
      <c r="N119" s="8">
        <v>6.8519999999999914E-2</v>
      </c>
      <c r="O119" s="8">
        <v>-0.19723999999999986</v>
      </c>
      <c r="P119" s="8">
        <v>-0.64254999999999973</v>
      </c>
      <c r="Q119" s="8">
        <v>-0.57235000000000014</v>
      </c>
      <c r="R119" s="8">
        <v>-0.63199000000000005</v>
      </c>
      <c r="S119" s="8">
        <v>-0.83644000000000007</v>
      </c>
      <c r="T119" s="8">
        <v>-1.2905199999999999</v>
      </c>
      <c r="U119" s="8">
        <v>-1.6730500000000001</v>
      </c>
      <c r="V119" s="8">
        <v>-2.29196</v>
      </c>
      <c r="W119" s="8">
        <v>-2.4229399999999996</v>
      </c>
      <c r="X119" s="8">
        <v>-2.9632399999999999</v>
      </c>
      <c r="Y119" s="8">
        <v>-3.5143199999999997</v>
      </c>
      <c r="Z119" s="8">
        <v>-4.5854100000000004</v>
      </c>
      <c r="AA119" s="8">
        <v>-4.1326799999999997</v>
      </c>
      <c r="AB119" s="8">
        <v>-5.0257700000000005</v>
      </c>
      <c r="AC119" s="8">
        <v>-5.7422299999999993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1.4986500000000003</v>
      </c>
      <c r="H120" s="8">
        <v>-4.6847300000000001</v>
      </c>
      <c r="I120" s="8">
        <v>-7.6701999999999995</v>
      </c>
      <c r="J120" s="8">
        <v>-9.0754000000000001</v>
      </c>
      <c r="K120" s="8">
        <v>-5.8359300000000003</v>
      </c>
      <c r="L120" s="8">
        <v>0.22106999999999999</v>
      </c>
      <c r="M120" s="8">
        <v>2.9457100000000001</v>
      </c>
      <c r="N120" s="8">
        <v>1.2442600000000001</v>
      </c>
      <c r="O120" s="8">
        <v>2.13218</v>
      </c>
      <c r="P120" s="8">
        <v>1.1260099999999997</v>
      </c>
      <c r="Q120" s="8">
        <v>0.24475000000000025</v>
      </c>
      <c r="R120" s="8">
        <v>3.7463499999999996</v>
      </c>
      <c r="S120" s="8">
        <v>1.7136400000000001</v>
      </c>
      <c r="T120" s="8">
        <v>2.4331399999999999</v>
      </c>
      <c r="U120" s="8">
        <v>2.9663599999999999</v>
      </c>
      <c r="V120" s="8">
        <v>-1.3967300000000002</v>
      </c>
      <c r="W120" s="8">
        <v>-2.4264999999999999</v>
      </c>
      <c r="X120" s="8">
        <v>-5.9757300000000004</v>
      </c>
      <c r="Y120" s="8">
        <v>-8.4728400000000015</v>
      </c>
      <c r="Z120" s="8">
        <v>0.7271800000000006</v>
      </c>
      <c r="AA120" s="8">
        <v>1.2578099999999992</v>
      </c>
      <c r="AB120" s="8">
        <v>-0.15394000000000041</v>
      </c>
      <c r="AC120" s="8">
        <v>-7.5560999999999989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-2.0904600000000002</v>
      </c>
      <c r="H121" s="5">
        <v>4.7821400000000001</v>
      </c>
      <c r="I121" s="5">
        <v>8.6400299999999994</v>
      </c>
      <c r="J121" s="5">
        <v>9.3640600000000003</v>
      </c>
      <c r="K121" s="5">
        <v>6.5289299999999999</v>
      </c>
      <c r="L121" s="5">
        <v>0.27726000000000001</v>
      </c>
      <c r="M121" s="5">
        <v>-1.1279399999999999</v>
      </c>
      <c r="N121" s="5">
        <v>0.57887999999999995</v>
      </c>
      <c r="O121" s="5">
        <v>-1.7840000000000002E-2</v>
      </c>
      <c r="P121" s="5">
        <v>1.4526600000000001</v>
      </c>
      <c r="Q121" s="5">
        <v>3.4353099999999999</v>
      </c>
      <c r="R121" s="5">
        <v>-0.64237999999999995</v>
      </c>
      <c r="S121" s="5">
        <v>1.89177</v>
      </c>
      <c r="T121" s="5">
        <v>1.01627</v>
      </c>
      <c r="U121" s="5">
        <v>-0.18176999999999999</v>
      </c>
      <c r="V121" s="5">
        <v>5.3440700000000003</v>
      </c>
      <c r="W121" s="5">
        <v>9.3355499999999996</v>
      </c>
      <c r="X121" s="5">
        <v>15.40253</v>
      </c>
      <c r="Y121" s="5">
        <v>20.731300000000001</v>
      </c>
      <c r="Z121" s="5">
        <v>10.42502</v>
      </c>
      <c r="AA121" s="5">
        <v>8.7532700000000006</v>
      </c>
      <c r="AB121" s="5">
        <v>11.737130000000001</v>
      </c>
      <c r="AC121" s="5">
        <v>21.706589999999998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1</v>
      </c>
      <c r="AC127" t="b">
        <v>0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b">
        <v>0</v>
      </c>
      <c r="AB128" t="b">
        <v>0</v>
      </c>
      <c r="AC128" t="b">
        <v>1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2.00332</v>
      </c>
      <c r="H131" s="2">
        <v>-10000000000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-10000000000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1.8177700000000001</v>
      </c>
      <c r="N132" s="2">
        <v>1.82314</v>
      </c>
      <c r="O132" s="2">
        <v>2.1143399999999999</v>
      </c>
      <c r="P132" s="2">
        <v>-10000000000</v>
      </c>
      <c r="Q132" s="2">
        <v>-10000000000</v>
      </c>
      <c r="R132" s="2">
        <v>3.1039699999999999</v>
      </c>
      <c r="S132" s="2">
        <v>-10000000000</v>
      </c>
      <c r="T132" s="2">
        <v>3.4494099999999999</v>
      </c>
      <c r="U132" s="2">
        <v>2.7845900000000001</v>
      </c>
      <c r="V132" s="2">
        <v>-10000000000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4.7821400000000001</v>
      </c>
      <c r="I133" s="2">
        <v>8.6400299999999994</v>
      </c>
      <c r="J133" s="2">
        <v>9.3640600000000003</v>
      </c>
      <c r="K133" s="2">
        <v>6.5289299999999999</v>
      </c>
      <c r="L133" s="2">
        <v>0.27726000000000001</v>
      </c>
      <c r="M133" s="2">
        <v>-10000000000</v>
      </c>
      <c r="N133" s="2">
        <v>-10000000000</v>
      </c>
      <c r="O133" s="2">
        <v>-10000000000</v>
      </c>
      <c r="P133" s="2">
        <v>1.4526600000000001</v>
      </c>
      <c r="Q133" s="2">
        <v>3.4353099999999999</v>
      </c>
      <c r="R133" s="2">
        <v>-10000000000</v>
      </c>
      <c r="S133" s="2">
        <v>1.89177</v>
      </c>
      <c r="T133" s="2">
        <v>-10000000000</v>
      </c>
      <c r="U133" s="2">
        <v>-10000000000</v>
      </c>
      <c r="V133" s="2">
        <v>5.3440700000000003</v>
      </c>
      <c r="W133" s="2">
        <v>9.3355499999999996</v>
      </c>
      <c r="X133" s="2">
        <v>15.40253</v>
      </c>
      <c r="Y133" s="2">
        <v>20.731300000000001</v>
      </c>
      <c r="Z133" s="2">
        <v>10.42502</v>
      </c>
      <c r="AA133" s="2">
        <v>8.7532700000000006</v>
      </c>
      <c r="AB133" s="2">
        <v>11.737130000000001</v>
      </c>
      <c r="AC133" s="2">
        <v>21.706589999999998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0.29111999999999999</v>
      </c>
      <c r="M135" s="2">
        <v>10000000000</v>
      </c>
      <c r="N135" s="2">
        <v>1.8916599999999999</v>
      </c>
      <c r="O135" s="2">
        <v>1.9171</v>
      </c>
      <c r="P135" s="2">
        <v>1.9361200000000001</v>
      </c>
      <c r="Q135" s="2">
        <v>3.10771</v>
      </c>
      <c r="R135" s="2">
        <v>10000000000</v>
      </c>
      <c r="S135" s="2">
        <v>2.7689699999999999</v>
      </c>
      <c r="T135" s="2">
        <v>2.15889</v>
      </c>
      <c r="U135" s="2">
        <v>1.11154</v>
      </c>
      <c r="V135" s="2">
        <v>1.6553800000000001</v>
      </c>
      <c r="W135" s="2">
        <v>10000000000</v>
      </c>
      <c r="X135" s="2">
        <v>10000000000</v>
      </c>
      <c r="Y135" s="2">
        <v>10000000000</v>
      </c>
      <c r="Z135" s="2">
        <v>6.5667900000000001</v>
      </c>
      <c r="AA135" s="2">
        <v>5.8784000000000001</v>
      </c>
      <c r="AB135" s="2">
        <v>6.5574199999999996</v>
      </c>
      <c r="AC135" s="2">
        <v>10000000000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9.7409999999999997E-2</v>
      </c>
      <c r="I136" s="2">
        <v>0.96982999999999997</v>
      </c>
      <c r="J136" s="2">
        <v>0.28866000000000003</v>
      </c>
      <c r="K136" s="2">
        <v>0.69299999999999995</v>
      </c>
      <c r="L136" s="2">
        <v>10000000000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6.9090499999999997</v>
      </c>
      <c r="X136" s="2">
        <v>9.4268000000000001</v>
      </c>
      <c r="Y136" s="2">
        <v>12.258459999999999</v>
      </c>
      <c r="Z136" s="2">
        <v>10000000000</v>
      </c>
      <c r="AA136" s="2">
        <v>10000000000</v>
      </c>
      <c r="AB136" s="2">
        <v>10000000000</v>
      </c>
      <c r="AC136" s="2">
        <v>14.15049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-2.0904600000000002</v>
      </c>
      <c r="H137" s="2">
        <v>10000000000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-1.1279399999999999</v>
      </c>
      <c r="N137" s="2">
        <v>10000000000</v>
      </c>
      <c r="O137" s="2">
        <v>10000000000</v>
      </c>
      <c r="P137" s="2">
        <v>10000000000</v>
      </c>
      <c r="Q137" s="2">
        <v>10000000000</v>
      </c>
      <c r="R137" s="2">
        <v>-0.64237999999999995</v>
      </c>
      <c r="S137" s="2">
        <v>10000000000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1</v>
      </c>
      <c r="AC139" t="b">
        <v>0</v>
      </c>
      <c r="AD139" t="e">
        <v>#N/A</v>
      </c>
    </row>
    <row r="140" spans="6:34" ht="15.75" hidden="1" x14ac:dyDescent="0.25">
      <c r="F140" s="1"/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cellIs" dxfId="218" priority="219" stopIfTrue="1" operator="greaterThanOrEqual">
      <formula>0</formula>
    </cfRule>
  </conditionalFormatting>
  <conditionalFormatting sqref="G5:AD5">
    <cfRule type="cellIs" dxfId="217" priority="218" stopIfTrue="1" operator="lessThan">
      <formula>0</formula>
    </cfRule>
  </conditionalFormatting>
  <conditionalFormatting sqref="G5:AD5">
    <cfRule type="expression" dxfId="216" priority="217">
      <formula>ISERROR(G5)</formula>
    </cfRule>
  </conditionalFormatting>
  <conditionalFormatting sqref="G6:AD6">
    <cfRule type="cellIs" dxfId="215" priority="216" stopIfTrue="1" operator="greaterThanOrEqual">
      <formula>0</formula>
    </cfRule>
  </conditionalFormatting>
  <conditionalFormatting sqref="G6:AD6">
    <cfRule type="cellIs" dxfId="214" priority="215" stopIfTrue="1" operator="lessThan">
      <formula>0</formula>
    </cfRule>
  </conditionalFormatting>
  <conditionalFormatting sqref="G6:AD6">
    <cfRule type="expression" dxfId="213" priority="214">
      <formula>ISERROR(G6)</formula>
    </cfRule>
  </conditionalFormatting>
  <conditionalFormatting sqref="G7:AD7">
    <cfRule type="cellIs" dxfId="212" priority="213" stopIfTrue="1" operator="greaterThanOrEqual">
      <formula>0</formula>
    </cfRule>
  </conditionalFormatting>
  <conditionalFormatting sqref="G7:AD7">
    <cfRule type="cellIs" dxfId="211" priority="212" stopIfTrue="1" operator="lessThan">
      <formula>0</formula>
    </cfRule>
  </conditionalFormatting>
  <conditionalFormatting sqref="G7:AD7">
    <cfRule type="expression" dxfId="210" priority="211">
      <formula>ISERROR(G7)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A9D9558E-5429-4BF1-B699-6B32B5587400}">
      <formula1>FormatOptions</formula1>
    </dataValidation>
  </dataValidations>
  <hyperlinks>
    <hyperlink ref="C4" r:id="rId1" display="https://fred.stlouisfed.org/series/MPCTXXXXS" xr:uid="{17E8B901-EBA9-4E3C-BF7C-6F33D4F30BD7}"/>
    <hyperlink ref="C5" r:id="rId2" display="https://fred.stlouisfed.org/series/TLPRVCONS" xr:uid="{CA58FAD9-64CA-4324-95C4-4A36C9882A92}"/>
    <hyperlink ref="C6" r:id="rId3" display="https://fred.stlouisfed.org/series/TLRESCONS" xr:uid="{11DCD466-18AA-468C-B1E3-5BE1A79156B2}"/>
    <hyperlink ref="C7" r:id="rId4" display="https://fred.stlouisfed.org/series/TLHWYCONS" xr:uid="{7E1C2004-7AAE-4D79-BD5C-FD86CEB13A0C}"/>
    <hyperlink ref="C8" r:id="rId5" display="https://fred.stlouisfed.org/series/HSN1F" xr:uid="{6705D8E3-FC3C-4E57-A956-00D83D466233}"/>
    <hyperlink ref="C9" r:id="rId6" display="https://fred.stlouisfed.org/series/HOUST" xr:uid="{29E2F40B-8DA2-49E1-B7A4-0C37D2BEF5CE}"/>
    <hyperlink ref="C11" r:id="rId7" display="https://fred.stlouisfed.org/series/UNDCONTSA" xr:uid="{74E645C9-1DB2-4556-9FE1-E755635C8796}"/>
    <hyperlink ref="C12" r:id="rId8" display="https://fred.stlouisfed.org/series/PERMIT" xr:uid="{2C3D9BAA-CBD7-471C-8F81-691D2713D8C2}"/>
    <hyperlink ref="C13" r:id="rId9" display="https://fred.stlouisfed.org/series/MORTGAGE30US" xr:uid="{89C94F64-9B5F-4D69-B91B-B16D15E57734}"/>
    <hyperlink ref="C16" r:id="rId10" display="https://fred.stlouisfed.org/series/ALTSALES" xr:uid="{D2806F55-5483-4398-994A-E636976D5B00}"/>
    <hyperlink ref="C17" r:id="rId11" display="https://fred.stlouisfed.org/series/AISRSA" xr:uid="{00F46B32-0273-460B-B639-F04A10244516}"/>
    <hyperlink ref="C18" r:id="rId12" display="https://fred.stlouisfed.org/series/DAUTOSAAR" xr:uid="{15378A91-A16C-4E78-95DA-8DD64CB8D990}"/>
    <hyperlink ref="C19" r:id="rId13" display="https://fred.stlouisfed.org/series/DAUPSA" xr:uid="{F776E3F5-EF3D-46C3-AA76-D4BBD56A3141}"/>
    <hyperlink ref="C23" r:id="rId14" display="https://fred.stlouisfed.org/series/UNEMPLOY" xr:uid="{8070FA8E-5462-46B7-8AE1-94E0DD3C7843}"/>
    <hyperlink ref="C24" r:id="rId15" display="https://fred.stlouisfed.org/series/UNRATE" xr:uid="{4FE5554B-B0C5-4C5A-8F7D-ECD924E7B172}"/>
    <hyperlink ref="C25" r:id="rId16" display="https://fred.stlouisfed.org/series/AWHNONAG" xr:uid="{DA6AD826-2E4D-4E95-9800-4801BFAC3545}"/>
    <hyperlink ref="C26" r:id="rId17" display="https://fred.stlouisfed.org/series/CLF16OV" xr:uid="{209ABD7D-6B1F-4E9A-B85D-DEBE38A5BE5C}"/>
    <hyperlink ref="C29" r:id="rId18" display="https://fred.stlouisfed.org/series/INDPRO" xr:uid="{BF67B6B6-DF96-4F8F-87FD-B1DDF3785A13}"/>
    <hyperlink ref="C30" r:id="rId19" display="https://fred.stlouisfed.org/series/TCU" xr:uid="{77FDA013-89C9-4F46-8FC2-52A55F02B061}"/>
    <hyperlink ref="C31" r:id="rId20" display="https://fred.stlouisfed.org/series/AMTMNO" xr:uid="{58A7A0B4-A168-4794-B277-FC1301935CB1}"/>
    <hyperlink ref="C32" r:id="rId21" display="https://fred.stlouisfed.org/series/DGORDER" xr:uid="{06FE6577-9693-435B-B63D-83F4AF742C48}"/>
    <hyperlink ref="C33" r:id="rId22" display="https://fred.stlouisfed.org/series/ANXAVS" xr:uid="{B69C4488-9C63-4E26-99B1-4631CC5035B7}"/>
    <hyperlink ref="C36" r:id="rId23" display="https://fred.stlouisfed.org/series/BUSINV" xr:uid="{58E5B345-A391-41EA-AE55-632E18B37CF2}"/>
    <hyperlink ref="C37" r:id="rId24" display="https://fred.stlouisfed.org/series/ISRATIO" xr:uid="{5CA0C970-719A-4BA2-AF9B-3F6B5FF08FCD}"/>
    <hyperlink ref="C38" r:id="rId25" display="https://fred.stlouisfed.org/series/RETAILMPCIMSA" xr:uid="{867FAC62-546F-4C2E-8EA9-AA8BB2DA4841}"/>
    <hyperlink ref="C39" r:id="rId26" display="https://fred.stlouisfed.org/series/ACNGTI" xr:uid="{40001B3A-5116-4E9D-8B0D-AAF83220A981}"/>
    <hyperlink ref="C42" r:id="rId27" display="https://fred.stlouisfed.org/series/CPIAUCSL" xr:uid="{FA583E57-3603-4820-8CAA-7216BB19ED29}"/>
    <hyperlink ref="C43" r:id="rId28" display="https://fred.stlouisfed.org/series/CPIFABSL" xr:uid="{E12FD306-50B5-45A4-9C04-42F179F629D0}"/>
    <hyperlink ref="C44" r:id="rId29" display="https://fred.stlouisfed.org/series/CPIENGSL" xr:uid="{AF16824F-D8CE-41EA-B79C-8B18D0DF0872}"/>
    <hyperlink ref="C45" r:id="rId30" display="https://fred.stlouisfed.org/series/CPILFESL" xr:uid="{BBB59E40-90B2-4DCB-B6D3-E96CFD4BAC79}"/>
    <hyperlink ref="C48" r:id="rId31" display="https://fred.stlouisfed.org/series/WPUFD49207" xr:uid="{D7D03978-DA2B-44EA-982C-A52B3D882F3E}"/>
    <hyperlink ref="C49" r:id="rId32" display="https://fred.stlouisfed.org/series/WPSID61" xr:uid="{C4E8D3D8-0287-4990-B923-13A0F15B8EDF}"/>
    <hyperlink ref="C50" r:id="rId33" display="https://fred.stlouisfed.org/series/PRAWMINDEXM" xr:uid="{645ABDF1-A464-48F4-A525-BECD670F259F}"/>
    <hyperlink ref="C52" r:id="rId34" display="https://fred.stlouisfed.org/series/DCOILWTICO" xr:uid="{4A30E72A-A915-402F-814A-C3D5485769BC}"/>
    <hyperlink ref="C53" r:id="rId35" display="https://fred.stlouisfed.org/series/DCOILBRENTEU" xr:uid="{F55C9448-994E-4722-B4AD-E0E9D039337F}"/>
    <hyperlink ref="C54" r:id="rId36" display="https://fred.stlouisfed.org/series/DHHNGSP" xr:uid="{1C36EA57-C63C-4BC4-ACD1-47F4935D521F}"/>
    <hyperlink ref="C58" r:id="rId37" display="https://fred.stlouisfed.org/series/DHHNGSP" xr:uid="{93EA94E8-8E77-45BA-91EA-C031CCBB7ECC}"/>
    <hyperlink ref="C59" r:id="rId38" display="https://fred.stlouisfed.org/series/PI" xr:uid="{B263E9E8-93C4-467B-86DB-A62DEC6DA90A}"/>
    <hyperlink ref="C60" r:id="rId39" display="https://fred.stlouisfed.org/series/DSPI" xr:uid="{01AA1D18-E6F6-49F5-B9F9-369D15C47FCA}"/>
    <hyperlink ref="C61" r:id="rId40" display="https://fred.stlouisfed.org/series/A229RX0" xr:uid="{E573397F-5202-443E-AEDC-611E9CD974B5}"/>
    <hyperlink ref="C62" r:id="rId41" display="https://fred.stlouisfed.org/series/PSAVERT" xr:uid="{E89AAFC2-09B9-418A-8549-2B664E29CAF4}"/>
    <hyperlink ref="C63" r:id="rId42" display="https://fred.stlouisfed.org/series/PCE" xr:uid="{0470B37E-D629-4D26-9038-D616204B2E90}"/>
    <hyperlink ref="C64" r:id="rId43" display="https://fred.stlouisfed.org/series/PCEC96" xr:uid="{1B3D443C-A064-408A-9347-E73A7DE6F125}"/>
    <hyperlink ref="C65" r:id="rId44" display="https://fred.stlouisfed.org/series/MRTSMPCSM44X72USS" xr:uid="{46B4B882-0B06-4A25-B43C-F29CED029993}"/>
    <hyperlink ref="C66" r:id="rId45" display="https://fred.stlouisfed.org/series/TOTALSL" xr:uid="{97FF2585-2F6F-4265-AAE1-EA737F97E5C2}"/>
    <hyperlink ref="C67" r:id="rId46" display="https://fred.stlouisfed.org/series/PCEND" xr:uid="{06BE4DBE-0FA1-43C8-AC23-DE2F9D943726}"/>
    <hyperlink ref="C68" r:id="rId47" display="https://fred.stlouisfed.org/series/A22BVS" xr:uid="{DF0242DB-2BE1-4275-9064-580D512E9010}"/>
    <hyperlink ref="C71" r:id="rId48" display="https://fred.stlouisfed.org/series/M1SL" xr:uid="{CFE68BA7-DDA6-474C-BF32-46471C207DEE}"/>
    <hyperlink ref="C72" r:id="rId49" display="https://fred.stlouisfed.org/series/M2SL" xr:uid="{C0D7087F-DA62-4F55-91A0-F4504F50BB7A}"/>
    <hyperlink ref="C74" r:id="rId50" display="https://fred.stlouisfed.org/series/DTB3" xr:uid="{3DC83600-057D-4156-8480-0DFECF911026}"/>
    <hyperlink ref="C75" r:id="rId51" display="https://fred.stlouisfed.org/series/DPRIME" xr:uid="{71BF243A-8E99-4B4F-8C6E-C27CCC1A62C3}"/>
    <hyperlink ref="C76" r:id="rId52" display="https://fred.stlouisfed.org/series/DGS10" xr:uid="{5DAA4E2D-32D0-42ED-94C0-9D0B522CB784}"/>
    <hyperlink ref="C79" r:id="rId53" display="https://fred.stlouisfed.org/series/DFII10" xr:uid="{EC2B69AD-408E-4318-89F0-4F2B1354A786}"/>
    <hyperlink ref="C80" r:id="rId54" display="https://fred.stlouisfed.org/series/DGS30" xr:uid="{9E84FB9E-8614-40B4-B36F-1EFDDFD828D1}"/>
    <hyperlink ref="C82" r:id="rId55" display="https://fred.stlouisfed.org/series/DEXUSEU" xr:uid="{6593C8AC-1B07-473B-8D48-C9F4891BE421}"/>
    <hyperlink ref="C83" r:id="rId56" display="https://fred.stlouisfed.org/series/DTWEXBGS" xr:uid="{DC3F9DEE-6206-4308-B737-5091BC6D04B6}"/>
    <hyperlink ref="C87" r:id="rId57" display="https://fred.stlouisfed.org/series/GDPC1" xr:uid="{8727B8CA-3858-4553-8A7C-051F5323DC01}"/>
    <hyperlink ref="C88" r:id="rId58" display="https://fred.stlouisfed.org/series/GDP" xr:uid="{3FD13192-8FD0-42B5-980F-0F9372A157E6}"/>
    <hyperlink ref="C89" r:id="rId59" display="https://fred.stlouisfed.org/series/PCEDG" xr:uid="{FECFA1FD-56CD-4F49-B1E6-B3F273FD4E7B}"/>
    <hyperlink ref="C90" r:id="rId60" display="https://fred.stlouisfed.org/series/PNFIC1" xr:uid="{AE6970E2-8649-457E-900F-9C60B6F006DF}"/>
    <hyperlink ref="C91" r:id="rId61" display="https://fred.stlouisfed.org/series/PRFIC1" xr:uid="{019F6A9C-3894-4849-9BF0-0EB1FB7407F0}"/>
    <hyperlink ref="C92" r:id="rId62" display="https://fred.stlouisfed.org/series/CBI" xr:uid="{0CB60F77-88EC-4926-891E-14A6F1741724}"/>
    <hyperlink ref="C93" r:id="rId63" display="https://fred.stlouisfed.org/series/NETEXC" xr:uid="{5F459512-539A-4C66-B37A-E08A71715C0C}"/>
    <hyperlink ref="C94" r:id="rId64" display="https://fred.stlouisfed.org/series/IEABC" xr:uid="{D75EF6A1-4807-43FC-A428-65971F1CD5F2}"/>
    <hyperlink ref="C73" r:id="rId65" display="https://fred.stlouisfed.org/series/BOPGSTB" xr:uid="{6D7AB9AE-BCDB-46A7-8AF0-5A157400CF5D}"/>
    <hyperlink ref="C95" r:id="rId66" display="https://fred.stlouisfed.org/series/GCEC1" xr:uid="{5121CB33-8812-4A95-9A0E-4919B0DC84A9}"/>
    <hyperlink ref="C96" r:id="rId67" display="https://fred.stlouisfed.org/series/EVACANTUSQ176N" xr:uid="{F7B4FCFA-DC3F-4E2F-88A4-6CBCFA12DCA8}"/>
    <hyperlink ref="C81" r:id="rId68" display="https://fred.stlouisfed.org/series/DTWEXBGS" xr:uid="{68713AC5-7C7B-4901-90E0-01FA9FB35F84}"/>
    <hyperlink ref="C78" r:id="rId69" display="https://fred.stlouisfed.org/series/DTWEXBGS" xr:uid="{C47C161D-CA57-4BE8-934E-984F4E416D23}"/>
    <hyperlink ref="C77" r:id="rId70" display="https://fred.stlouisfed.org/series/DGS10" xr:uid="{09C7050A-DA34-459B-9C0F-E253909FEBBE}"/>
    <hyperlink ref="C51" r:id="rId71" display="https://fred.stlouisfed.org/series/PRAWMINDEXM" xr:uid="{D8F2165E-0C3D-418C-82CD-AEE4168BC466}"/>
    <hyperlink ref="C22" r:id="rId72" display="https://fred.stlouisfed.org/series/PAYEMS" xr:uid="{7597B993-5237-4E34-A0B4-EEC3B5F5DDF4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261016 EconSheet</vt:lpstr>
      <vt:lpstr>'261016 EconSheet'!Conditions</vt:lpstr>
      <vt:lpstr>'261016 EconSheet'!DataTable</vt:lpstr>
      <vt:lpstr>'261016 EconSheet'!DataTableStart</vt:lpstr>
      <vt:lpstr>'261016 EconSheet'!DatesAndSeries</vt:lpstr>
      <vt:lpstr>'261016 EconSheet'!DatesCol</vt:lpstr>
      <vt:lpstr>'261016 EconSheet'!ESSeries</vt:lpstr>
      <vt:lpstr>'261016 EconSheet'!FormatTable</vt:lpstr>
      <vt:lpstr>'261016 EconSheet'!Print_Area</vt:lpstr>
      <vt:lpstr>'261016 EconSheet'!SpFormat1</vt:lpstr>
      <vt:lpstr>'261016 EconSheet'!SpFormat2</vt:lpstr>
      <vt:lpstr>'261016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2026-10-16T11:24:13Z</dcterms:created>
  <dcterms:modified xsi:type="dcterms:W3CDTF">2026-10-16T11:24:15Z</dcterms:modified>
</cp:coreProperties>
</file>