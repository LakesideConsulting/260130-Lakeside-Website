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A9C3DE64-25FF-4B30-9977-F30D16B0E1DE}" xr6:coauthVersionLast="47" xr6:coauthVersionMax="47" xr10:uidLastSave="{00000000-0000-0000-0000-000000000000}"/>
  <bookViews>
    <workbookView xWindow="-28920" yWindow="5295" windowWidth="29040" windowHeight="15720" xr2:uid="{626B6F87-D248-4394-AE80-16238AEFE6A8}"/>
  </bookViews>
  <sheets>
    <sheet name="261010 EconSheet" sheetId="1" r:id="rId1"/>
  </sheets>
  <externalReferences>
    <externalReference r:id="rId2"/>
  </externalReferences>
  <definedNames>
    <definedName name="_xlnm._FilterDatabase" localSheetId="0" hidden="1">'261010 EconSheet'!$A$28:$AF$33</definedName>
    <definedName name="Conditions" localSheetId="0">'261010 EconSheet'!$AH$3:$AH$96</definedName>
    <definedName name="CurrDates">[1]Currencies!$A$8:$A$14337</definedName>
    <definedName name="DataStart">'[1]Retrieved Data'!$A$1</definedName>
    <definedName name="DataTable" localSheetId="0">'261010 EconSheet'!$G$4:$AD$96</definedName>
    <definedName name="DataTableStart" localSheetId="0">'261010 EconSheet'!$G$4</definedName>
    <definedName name="DatesAndSeries" localSheetId="0">'261010 EconSheet'!$E$4:$F$96</definedName>
    <definedName name="DatesAndSeries">[1]EconSheet!$E$4:$F$96</definedName>
    <definedName name="DatesCol" localSheetId="0">'261010 EconSheet'!$E$4:$E$96</definedName>
    <definedName name="DatesCol">[1]EconSheet!$E$4:$E$96</definedName>
    <definedName name="ESSeries" localSheetId="0">'261010 EconSheet'!$B$4:$B$103</definedName>
    <definedName name="ForceAll" localSheetId="0">'261010 EconSheet'!#REF!</definedName>
    <definedName name="FormatOptions">[1]Calculations!$U$3:$U$14</definedName>
    <definedName name="FormatTable" localSheetId="0">'261010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'261010 EconSheet'!$F$1:$AD$54,'261010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'261010 EconSheet'!$AH$131</definedName>
    <definedName name="SpFormat2" localSheetId="0">'261010 EconSheet'!$AH$136</definedName>
    <definedName name="TrueFalse" localSheetId="0">'261010 EconSheet'!#REF!</definedName>
    <definedName name="TrueFalse">[1]EconSheet!$AU$1:$AU$2</definedName>
    <definedName name="WholeTable" localSheetId="0">'261010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<sst xmlns="http://schemas.openxmlformats.org/spreadsheetml/2006/main" count="418" uniqueCount="191">
  <si>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</si>
  <si>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</si>
  <si>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</si>
  <si>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</si>
  <si>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</si>
  <si>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</si>
  <si>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</si>
  <si>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</si>
  <si>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</si>
  <si>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</si>
  <si>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</si>
  <si>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</si>
  <si>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</si>
  <si>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</si>
  <si>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</si>
  <si>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</si>
  <si>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</si>
  <si>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</si>
  <si>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</si>
  <si>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</si>
  <si>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</si>
  <si>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</si>
  <si>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</si>
  <si>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</si>
  <si>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</si>
  <si>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</si>
  <si>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</si>
  <si>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</si>
  <si>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</si>
  <si>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</si>
  <si>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</si>
  <si>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</si>
  <si>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</si>
  <si>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</si>
  <si>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</si>
  <si>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</si>
  <si>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</si>
  <si>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</si>
  <si>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</si>
  <si>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</si>
  <si>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</si>
  <si>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</si>
  <si>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</si>
  <si>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</si>
  <si>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</si>
  <si>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</si>
  <si>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</si>
  <si>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</si>
  <si>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</si>
  <si>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</si>
  <si>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</si>
  <si>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</si>
  <si>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</si>
  <si>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</si>
  <si>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</si>
  <si>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</si>
  <si>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</si>
  <si>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</si>
  <si>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</si>
  <si>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</si>
  <si>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</si>
  <si>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</si>
  <si>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</si>
  <si>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</si>
  <si>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</si>
  <si>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</si>
  <si>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</si>
  <si>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</si>
  <si>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</si>
  <si>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</si>
  <si>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</si>
  <si>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</si>
  <si>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</si>
  <si>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</si>
  <si>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</si>
  <si>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</si>
  <si>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</si>
  <si>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</si>
  <si>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</si>
  <si>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</si>
  <si>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</si>
  <si>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</si>
  <si>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</si>
  <si>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</si>
  <si>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</si>
  <si>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</si>
  <si>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</si>
  <si>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</si>
  <si>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</si>
  <si>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</si>
  <si>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</si>
  <si>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</si>
  <si>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</si>
  <si>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</si>
  <si>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</si>
  <si>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</si>
  <si>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</si>
  <si>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</si>
  <si>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</si>
  <si>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</si>
  <si>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</si>
  <si>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</si>
  <si>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</si>
  <si>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</si>
  <si>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</si>
  <si>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</si>
  <si>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</si>
  <si>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</si>
  <si>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</si>
  <si>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</si>
  <si>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</si>
  <si>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</si>
  <si>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</si>
  <si>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</si>
  <si>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</si>
  <si>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</si>
  <si>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</si>
  <si>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</si>
  <si>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</si>
  <si>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</si>
  <si>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</si>
  <si>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</si>
  <si>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</si>
  <si>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</si>
  <si>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</si>
  <si>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</si>
  <si>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</si>
  <si>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</si>
  <si>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</si>
  <si>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</si>
  <si>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</si>
  <si>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</si>
  <si>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</si>
  <si>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</si>
  <si>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</si>
  <si>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</si>
  <si>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</si>
  <si>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</si>
  <si>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</si>
  <si>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</si>
  <si>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</si>
  <si>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</si>
  <si>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</si>
  <si>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</si>
  <si>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</si>
  <si>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</si>
  <si>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</si>
  <si>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</si>
  <si>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</si>
  <si>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</si>
  <si>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</si>
  <si>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</si>
  <si>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</si>
  <si>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</si>
  <si>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</si>
  <si>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</si>
  <si>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</si>
  <si>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</si>
  <si>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</si>
  <si>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</si>
  <si>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</si>
  <si>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</si>
  <si>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</si>
  <si>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</si>
  <si>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</si>
  <si>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</si>
  <si>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</si>
  <si>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</si>
  <si>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</si>
  <si>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</si>
  <si>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</si>
  <si>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</si>
  <si>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</si>
  <si>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</si>
  <si>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</si>
  <si>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</si>
  <si>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</si>
  <si>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</si>
  <si>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</si>
  <si>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</si>
  <si>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</si>
  <si>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</si>
  <si>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</si>
  <si>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</si>
  <si>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</si>
  <si>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</si>
  <si>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10/13/26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</si>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</sst>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2CDF5CA3-93E2-44C1-BA1E-DE369082333B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E94B10F3-F016-48B4-8E42-A5B2D2DD8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F0791CA5-2F17-4FD3-9DE2-AF8496D41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46310.501759259263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46310.553749999992</v>
          </cell>
          <cell r="F52" t="str">
            <v>Crude Oil WTI Cushing - Spot USD/BBL Last day of Month</v>
          </cell>
        </row>
        <row r="53">
          <cell r="E53">
            <v>46310.553738425922</v>
          </cell>
          <cell r="F53" t="str">
            <v>Crude Oil Brent - Spot USD/BBL Last day of Month</v>
          </cell>
        </row>
        <row r="54">
          <cell r="E54">
            <v>46310.564166666663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46308.678148148145</v>
          </cell>
          <cell r="F74" t="str">
            <v>3-Month Treasury Bills, Secondary market (%)</v>
          </cell>
        </row>
        <row r="75">
          <cell r="E75">
            <v>46308.678460648138</v>
          </cell>
          <cell r="F75" t="str">
            <v>Bank Prime Rate (%)</v>
          </cell>
        </row>
        <row r="76">
          <cell r="E76">
            <v>46308.678194444452</v>
          </cell>
          <cell r="F76" t="str">
            <v>2-yr. Treasury Bond Yield at Constant Maturity (%)</v>
          </cell>
        </row>
        <row r="77">
          <cell r="E77">
            <v>46308.678171296298</v>
          </cell>
          <cell r="F77" t="str">
            <v>10-yr. Treasury Bond Yield at Constant Maturity (%)</v>
          </cell>
        </row>
        <row r="78">
          <cell r="E78">
            <v>46308.710868055554</v>
          </cell>
          <cell r="F78" t="str">
            <v>10 Yr - 2 Yr Treasury Spread - Const Maturity %</v>
          </cell>
        </row>
        <row r="79">
          <cell r="E79">
            <v>46308.678171296298</v>
          </cell>
          <cell r="F79" t="str">
            <v>10-yr. Treasury Bond Yield at Const. Mat. Inflation Indexed (%)</v>
          </cell>
        </row>
        <row r="80">
          <cell r="E80">
            <v>46308.678217592591</v>
          </cell>
          <cell r="F80" t="str">
            <v>30-yr. Treasury Bond Yield at Constant Maturity (%)</v>
          </cell>
        </row>
        <row r="81">
          <cell r="E81">
            <v>46308.710856481484</v>
          </cell>
          <cell r="F81" t="str">
            <v>10 Yr - 3 Month Treasury Spread - Const Maturity %</v>
          </cell>
        </row>
        <row r="82">
          <cell r="E82">
            <v>46308.678252314814</v>
          </cell>
          <cell r="F82" t="str">
            <v>USD/EUR Exchange Rate - Last Day of Month</v>
          </cell>
        </row>
        <row r="83">
          <cell r="E83">
            <v>46308.678391203706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1</v>
          </cell>
          <cell r="D1827">
            <v>0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DA8C-B250-47A1-9A47-3E7656BE6E44}">
  <sheetPr codeName="Sheet22">
    <pageSetUpPr fitToPage="1"/>
  </sheetPr>
  <dimension ref="A1:AH144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.75" outlineLevelCol="1" x14ac:dyDescent="0.25"/>
  <cols>
    <col min="1" max="1" width="8.28515625" style="1" hidden="1" customWidth="1" outlineLevel="1"/>
    <col min="2" max="2" width="28.140625" style="1" hidden="1" customWidth="1" outlineLevel="1"/>
    <col min="3" max="3" width="77.140625" style="1" hidden="1" customWidth="1" outlineLevel="1"/>
    <col min="4" max="4" width="17.42578125" style="2" hidden="1" customWidth="1" outlineLevel="1"/>
    <col min="5" max="5" width="21" style="2" bestFit="1" customWidth="1" collapsed="1"/>
    <col min="6" max="6" width="61.42578125" style="1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68" customFormat="1" x14ac:dyDescent="0.25">
      <c r="A1" s="70"/>
      <c r="B1" s="70"/>
      <c r="C1" s="70"/>
      <c r="D1" s="37"/>
      <c r="E1" s="37"/>
      <c r="F1" s="70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68" customFormat="1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69">
        <v>45566</v>
      </c>
      <c r="H2" s="69">
        <v>45597</v>
      </c>
      <c r="I2" s="69">
        <v>45627</v>
      </c>
      <c r="J2" s="69">
        <v>45658</v>
      </c>
      <c r="K2" s="69">
        <v>45689</v>
      </c>
      <c r="L2" s="69">
        <v>45717</v>
      </c>
      <c r="M2" s="69">
        <v>45748</v>
      </c>
      <c r="N2" s="69">
        <v>45778</v>
      </c>
      <c r="O2" s="69">
        <v>45809</v>
      </c>
      <c r="P2" s="69">
        <v>45839</v>
      </c>
      <c r="Q2" s="69">
        <v>45870</v>
      </c>
      <c r="R2" s="69">
        <v>45901</v>
      </c>
      <c r="S2" s="69">
        <v>45931</v>
      </c>
      <c r="T2" s="69">
        <v>45962</v>
      </c>
      <c r="U2" s="69">
        <v>45992</v>
      </c>
      <c r="V2" s="69">
        <v>46023</v>
      </c>
      <c r="W2" s="69">
        <v>46054</v>
      </c>
      <c r="X2" s="69">
        <v>46082</v>
      </c>
      <c r="Y2" s="69">
        <v>46113</v>
      </c>
      <c r="Z2" s="69">
        <v>46143</v>
      </c>
      <c r="AA2" s="69">
        <v>46174</v>
      </c>
      <c r="AB2" s="69">
        <v>46204</v>
      </c>
      <c r="AC2" s="69">
        <v>46235</v>
      </c>
      <c r="AD2" s="69">
        <v>46266</v>
      </c>
      <c r="AH2" s="68" t="s">
        <v>185</v>
      </c>
    </row>
    <row r="3" spans="1:34" x14ac:dyDescent="0.25">
      <c r="A3" s="10"/>
      <c r="B3" s="10" t="s">
        <v>184</v>
      </c>
      <c r="C3" s="10"/>
      <c r="D3" s="67">
        <v>46304.710856481484</v>
      </c>
      <c r="E3" s="66">
        <v>46308.678148148145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8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65" t="s">
        <v>35</v>
      </c>
      <c r="AH4" t="s">
        <v>21</v>
      </c>
    </row>
    <row r="5" spans="1:34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8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8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7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3">
        <v>1256</v>
      </c>
      <c r="AB11" s="63">
        <v>1267</v>
      </c>
      <c r="AC11" s="63">
        <v>1271</v>
      </c>
      <c r="AD11" s="13" t="e">
        <v>#N/A</v>
      </c>
      <c r="AH11" t="s">
        <v>10</v>
      </c>
    </row>
    <row r="12" spans="1:34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59">
        <v>-2.0935100000000002</v>
      </c>
      <c r="AD12" s="4" t="e">
        <v>#N/A</v>
      </c>
      <c r="AH12" t="s">
        <v>21</v>
      </c>
    </row>
    <row r="13" spans="1:34" x14ac:dyDescent="0.25">
      <c r="A13" s="25">
        <v>13</v>
      </c>
      <c r="B13" s="25" t="s">
        <v>164</v>
      </c>
      <c r="C13" s="16" t="s">
        <v>163</v>
      </c>
      <c r="D13" s="15">
        <v>46303.501759259256</v>
      </c>
      <c r="E13" s="52">
        <v>46310.501759259263</v>
      </c>
      <c r="F13" s="42" t="s">
        <v>162</v>
      </c>
      <c r="G13" s="41" t="e">
        <v>#N/A</v>
      </c>
      <c r="H13" s="46">
        <v>6.81</v>
      </c>
      <c r="I13" s="46">
        <v>6.72</v>
      </c>
      <c r="J13" s="46">
        <v>6.96</v>
      </c>
      <c r="K13" s="46">
        <v>6.84</v>
      </c>
      <c r="L13" s="46">
        <v>6.65</v>
      </c>
      <c r="M13" s="46">
        <v>6.73</v>
      </c>
      <c r="N13" s="46">
        <v>6.82</v>
      </c>
      <c r="O13" s="46">
        <v>6.82</v>
      </c>
      <c r="P13" s="46">
        <v>6.72</v>
      </c>
      <c r="Q13" s="46">
        <v>6.59</v>
      </c>
      <c r="R13" s="46">
        <v>6.35</v>
      </c>
      <c r="S13" s="46">
        <v>6.25</v>
      </c>
      <c r="T13" s="46">
        <v>6.24</v>
      </c>
      <c r="U13" s="46">
        <v>6.19</v>
      </c>
      <c r="V13" s="46">
        <v>6.1</v>
      </c>
      <c r="W13" s="46">
        <v>6.05</v>
      </c>
      <c r="X13" s="46">
        <v>6.18</v>
      </c>
      <c r="Y13" s="46">
        <v>6.33</v>
      </c>
      <c r="Z13" s="46">
        <v>6.44</v>
      </c>
      <c r="AA13" s="46">
        <v>6.49</v>
      </c>
      <c r="AB13" s="46">
        <v>6.54</v>
      </c>
      <c r="AC13" s="46">
        <v>6.67</v>
      </c>
      <c r="AD13" s="46">
        <v>6.86</v>
      </c>
      <c r="AH13" t="s">
        <v>44</v>
      </c>
    </row>
    <row r="14" spans="1:34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4"/>
      <c r="W14" s="64"/>
      <c r="X14" s="64"/>
      <c r="Y14" s="64"/>
      <c r="Z14" s="36"/>
      <c r="AA14" s="36"/>
      <c r="AB14" s="36"/>
      <c r="AC14" s="36"/>
      <c r="AD14" s="36"/>
      <c r="AH14" t="s">
        <v>34</v>
      </c>
    </row>
    <row r="15" spans="1:34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8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1">
        <v>1.242</v>
      </c>
      <c r="AD17" s="41" t="e">
        <v>#N/A</v>
      </c>
      <c r="AE17" s="41"/>
      <c r="AH17" t="s">
        <v>6</v>
      </c>
    </row>
    <row r="18" spans="1:34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59">
        <v>1.837</v>
      </c>
      <c r="AC18" s="59">
        <v>1.8080000000000001</v>
      </c>
      <c r="AD18" s="4" t="e">
        <v>#N/A</v>
      </c>
      <c r="AH18" t="s">
        <v>10</v>
      </c>
    </row>
    <row r="19" spans="1:34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4">
        <v>100.72499999999999</v>
      </c>
      <c r="AC19" s="54">
        <v>94.197000000000003</v>
      </c>
      <c r="AD19" s="7" t="e">
        <v>#N/A</v>
      </c>
      <c r="AH19" t="s">
        <v>10</v>
      </c>
    </row>
    <row r="20" spans="1:34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8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13">
        <v>-10</v>
      </c>
      <c r="AC22" s="63">
        <v>133</v>
      </c>
      <c r="AD22" s="62">
        <v>29</v>
      </c>
      <c r="AH22" t="s">
        <v>21</v>
      </c>
    </row>
    <row r="23" spans="1:34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8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1">
        <v>78</v>
      </c>
      <c r="AH23" t="s">
        <v>18</v>
      </c>
    </row>
    <row r="24" spans="1:34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59">
        <v>4.0999999999999996</v>
      </c>
      <c r="AD24" s="59">
        <v>4.2</v>
      </c>
      <c r="AH24" t="s">
        <v>6</v>
      </c>
    </row>
    <row r="25" spans="1:34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8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28">
        <v>0.28566999999999998</v>
      </c>
      <c r="AH26" t="s">
        <v>21</v>
      </c>
    </row>
    <row r="27" spans="1:34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8">
        <v>46311.38898148149</v>
      </c>
      <c r="F29" s="47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8">
        <v>46311.387928240743</v>
      </c>
      <c r="F30" s="47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0.76727000000000001</v>
      </c>
      <c r="AC31" s="29">
        <v>9.8669999999999994E-2</v>
      </c>
      <c r="AD31" s="4" t="e">
        <v>#N/A</v>
      </c>
      <c r="AH31" t="s">
        <v>21</v>
      </c>
    </row>
    <row r="32" spans="1:34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0.86992000000000003</v>
      </c>
      <c r="AC32" s="54">
        <v>-7.145E-2</v>
      </c>
      <c r="AD32" s="7" t="e">
        <v>#N/A</v>
      </c>
      <c r="AH32" t="s">
        <v>21</v>
      </c>
    </row>
    <row r="33" spans="1:34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1.42343</v>
      </c>
      <c r="AC33" s="28">
        <v>0.53724000000000005</v>
      </c>
      <c r="AD33" s="7" t="e">
        <v>#N/A</v>
      </c>
      <c r="AH33" t="s">
        <v>21</v>
      </c>
    </row>
    <row r="34" spans="1:34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59">
        <v>0.8</v>
      </c>
      <c r="AC38" s="4" t="e">
        <v>#N/A</v>
      </c>
      <c r="AD38" s="4" t="e">
        <v>#N/A</v>
      </c>
      <c r="AH38" t="s">
        <v>18</v>
      </c>
    </row>
    <row r="39" spans="1:34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0.36033999999999999</v>
      </c>
      <c r="AC39" s="54">
        <v>0.38933000000000001</v>
      </c>
      <c r="AD39" s="7" t="e">
        <v>#N/A</v>
      </c>
      <c r="AH39" t="s">
        <v>18</v>
      </c>
    </row>
    <row r="40" spans="1:34" x14ac:dyDescent="0.25">
      <c r="A40" s="25"/>
      <c r="B40" s="25"/>
      <c r="C40" s="25"/>
      <c r="D40" s="37"/>
      <c r="E40" s="14"/>
      <c r="F40" s="25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H40" t="s">
        <v>34</v>
      </c>
    </row>
    <row r="41" spans="1:34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59">
        <v>0.39950999999999998</v>
      </c>
      <c r="X44" s="59">
        <v>12.589549999999999</v>
      </c>
      <c r="Y44" s="59">
        <v>17.536049999999999</v>
      </c>
      <c r="Z44" s="59">
        <v>22.97287</v>
      </c>
      <c r="AA44" s="59">
        <v>15.451370000000001</v>
      </c>
      <c r="AB44" s="59">
        <v>14.44533</v>
      </c>
      <c r="AC44" s="59">
        <v>16.04935</v>
      </c>
      <c r="AD44" s="4" t="e">
        <v>#N/A</v>
      </c>
      <c r="AH44" t="s">
        <v>18</v>
      </c>
    </row>
    <row r="45" spans="1:34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x14ac:dyDescent="0.25">
      <c r="A51" s="47">
        <v>115</v>
      </c>
      <c r="B51" s="47" t="s">
        <v>101</v>
      </c>
      <c r="C51" s="16" t="s">
        <v>100</v>
      </c>
      <c r="D51" s="24">
        <v>46251.618888888886</v>
      </c>
      <c r="E51" s="48">
        <v>46327.618888888886</v>
      </c>
      <c r="F51" s="47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x14ac:dyDescent="0.25">
      <c r="A52" s="25">
        <v>113</v>
      </c>
      <c r="B52" s="25" t="s">
        <v>98</v>
      </c>
      <c r="C52" s="16" t="s">
        <v>93</v>
      </c>
      <c r="D52" s="15">
        <v>46302.553749999999</v>
      </c>
      <c r="E52" s="14">
        <v>46310.553749999992</v>
      </c>
      <c r="F52" s="25" t="s">
        <v>97</v>
      </c>
      <c r="G52" s="41" t="e">
        <v>#N/A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1">
        <v>83.9</v>
      </c>
      <c r="AD52" s="51">
        <v>97.31</v>
      </c>
      <c r="AH52" t="s">
        <v>6</v>
      </c>
    </row>
    <row r="53" spans="1:34" x14ac:dyDescent="0.25">
      <c r="A53" s="6">
        <v>125</v>
      </c>
      <c r="B53" s="6" t="s">
        <v>96</v>
      </c>
      <c r="C53" s="22" t="s">
        <v>93</v>
      </c>
      <c r="D53" s="21">
        <v>46302.553738425922</v>
      </c>
      <c r="E53" s="20">
        <v>46310.553738425922</v>
      </c>
      <c r="F53" s="6" t="s">
        <v>95</v>
      </c>
      <c r="G53" s="44" t="e">
        <v>#N/A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58">
        <v>91.08</v>
      </c>
      <c r="AD53" s="58">
        <v>114.16</v>
      </c>
      <c r="AH53" t="s">
        <v>6</v>
      </c>
    </row>
    <row r="54" spans="1:34" x14ac:dyDescent="0.25">
      <c r="A54" s="57">
        <v>117</v>
      </c>
      <c r="B54" s="57" t="s">
        <v>94</v>
      </c>
      <c r="C54" s="16" t="s">
        <v>93</v>
      </c>
      <c r="D54" s="24">
        <v>46302.564166666663</v>
      </c>
      <c r="E54" s="23">
        <v>46310.564166666663</v>
      </c>
      <c r="F54" s="57" t="s">
        <v>92</v>
      </c>
      <c r="G54" s="41" t="e">
        <v>#N/A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1">
        <v>2.95</v>
      </c>
      <c r="AH54" t="s">
        <v>6</v>
      </c>
    </row>
    <row r="55" spans="1:34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4">
        <v>-5.3999999999999999E-2</v>
      </c>
      <c r="AD61" s="7" t="e">
        <v>#N/A</v>
      </c>
      <c r="AH61" t="s">
        <v>21</v>
      </c>
    </row>
    <row r="62" spans="1:34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4">
        <v>4.0999999999999996</v>
      </c>
      <c r="AD62" s="7" t="e">
        <v>#N/A</v>
      </c>
      <c r="AH62" t="s">
        <v>10</v>
      </c>
    </row>
    <row r="63" spans="1:34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7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12380.450000000201</v>
      </c>
      <c r="Q66" s="17">
        <v>2675.4899999992999</v>
      </c>
      <c r="R66" s="17">
        <v>13373.54</v>
      </c>
      <c r="S66" s="17">
        <v>7801.3400000007996</v>
      </c>
      <c r="T66" s="17">
        <v>3314.7999999998001</v>
      </c>
      <c r="U66" s="17">
        <v>15741.370000000101</v>
      </c>
      <c r="V66" s="17">
        <v>4391.6399999997002</v>
      </c>
      <c r="W66" s="17">
        <v>7178.3200000002998</v>
      </c>
      <c r="X66" s="17">
        <v>21037.989999999299</v>
      </c>
      <c r="Y66" s="17">
        <v>21099.140000000501</v>
      </c>
      <c r="Z66" s="17">
        <v>2893.5700000002998</v>
      </c>
      <c r="AA66" s="17">
        <v>15336.2599999998</v>
      </c>
      <c r="AB66" s="17">
        <v>17740.089999999898</v>
      </c>
      <c r="AC66" s="17">
        <v>8280.6100000003007</v>
      </c>
      <c r="AD66" s="18" t="e">
        <v>#N/A</v>
      </c>
      <c r="AH66" t="s">
        <v>18</v>
      </c>
    </row>
    <row r="67" spans="1:34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7">
        <v>0.27812999999999999</v>
      </c>
      <c r="AC68" s="54">
        <v>-0.46645999999999999</v>
      </c>
      <c r="AD68" s="7" t="e">
        <v>#N/A</v>
      </c>
      <c r="AH68" t="s">
        <v>21</v>
      </c>
    </row>
    <row r="69" spans="1:34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7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8">
        <v>46322.542708333334</v>
      </c>
      <c r="F72" s="47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-92826</v>
      </c>
      <c r="AC73" s="17">
        <v>-105572</v>
      </c>
      <c r="AD73" s="18" t="e">
        <v>#N/A</v>
      </c>
      <c r="AH73" t="s">
        <v>10</v>
      </c>
    </row>
    <row r="74" spans="1:34" x14ac:dyDescent="0.25">
      <c r="A74" s="1">
        <v>81</v>
      </c>
      <c r="B74" s="1" t="s">
        <v>58</v>
      </c>
      <c r="C74" s="16" t="s">
        <v>37</v>
      </c>
      <c r="D74" s="24">
        <v>46304.678148148145</v>
      </c>
      <c r="E74" s="48">
        <v>46308.678148148145</v>
      </c>
      <c r="F74" s="47" t="s">
        <v>57</v>
      </c>
      <c r="G74" s="41" t="e">
        <v>#N/A</v>
      </c>
      <c r="H74" s="46">
        <v>4.42</v>
      </c>
      <c r="I74" s="46">
        <v>4.2699999999999996</v>
      </c>
      <c r="J74" s="46">
        <v>4.21</v>
      </c>
      <c r="K74" s="46">
        <v>4.22</v>
      </c>
      <c r="L74" s="46">
        <v>4.2</v>
      </c>
      <c r="M74" s="46">
        <v>4.21</v>
      </c>
      <c r="N74" s="46">
        <v>4.25</v>
      </c>
      <c r="O74" s="46">
        <v>4.2300000000000004</v>
      </c>
      <c r="P74" s="46">
        <v>4.25</v>
      </c>
      <c r="Q74" s="46">
        <v>4.12</v>
      </c>
      <c r="R74" s="46">
        <v>3.92</v>
      </c>
      <c r="S74" s="46">
        <v>3.82</v>
      </c>
      <c r="T74" s="46">
        <v>3.78</v>
      </c>
      <c r="U74" s="46">
        <v>3.59</v>
      </c>
      <c r="V74" s="46">
        <v>3.57</v>
      </c>
      <c r="W74" s="46">
        <v>3.6</v>
      </c>
      <c r="X74" s="46">
        <v>3.61</v>
      </c>
      <c r="Y74" s="46">
        <v>3.61</v>
      </c>
      <c r="Z74" s="46">
        <v>3.6</v>
      </c>
      <c r="AA74" s="46">
        <v>3.66</v>
      </c>
      <c r="AB74" s="46">
        <v>3.73</v>
      </c>
      <c r="AC74" s="46">
        <v>3.72</v>
      </c>
      <c r="AD74" s="46">
        <v>3.94</v>
      </c>
      <c r="AH74" t="s">
        <v>44</v>
      </c>
    </row>
    <row r="75" spans="1:34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2">
        <v>46308.678460648138</v>
      </c>
      <c r="F75" s="42" t="s">
        <v>55</v>
      </c>
      <c r="G75" s="41" t="e">
        <v>#N/A</v>
      </c>
      <c r="H75" s="46">
        <v>7.81</v>
      </c>
      <c r="I75" s="46">
        <v>7.65</v>
      </c>
      <c r="J75" s="46">
        <v>7.5</v>
      </c>
      <c r="K75" s="46">
        <v>7.5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7.38</v>
      </c>
      <c r="S75" s="46">
        <v>7.23</v>
      </c>
      <c r="T75" s="46">
        <v>7</v>
      </c>
      <c r="U75" s="46">
        <v>6.84</v>
      </c>
      <c r="V75" s="46">
        <v>6.75</v>
      </c>
      <c r="W75" s="46">
        <v>6.75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6.86</v>
      </c>
      <c r="AH75" t="s">
        <v>44</v>
      </c>
    </row>
    <row r="76" spans="1:34" x14ac:dyDescent="0.25">
      <c r="A76" s="6">
        <v>149</v>
      </c>
      <c r="B76" s="6" t="s">
        <v>54</v>
      </c>
      <c r="C76" s="22" t="s">
        <v>37</v>
      </c>
      <c r="D76" s="21">
        <v>46304.678194444445</v>
      </c>
      <c r="E76" s="53">
        <v>46308.678194444452</v>
      </c>
      <c r="F76" s="45" t="s">
        <v>53</v>
      </c>
      <c r="G76" s="44" t="e">
        <v>#N/A</v>
      </c>
      <c r="H76" s="49">
        <v>4.26</v>
      </c>
      <c r="I76" s="49">
        <v>4.2300000000000004</v>
      </c>
      <c r="J76" s="49">
        <v>4.2699999999999996</v>
      </c>
      <c r="K76" s="49">
        <v>4.21</v>
      </c>
      <c r="L76" s="49">
        <v>3.97</v>
      </c>
      <c r="M76" s="49">
        <v>3.78</v>
      </c>
      <c r="N76" s="49">
        <v>3.92</v>
      </c>
      <c r="O76" s="49">
        <v>3.89</v>
      </c>
      <c r="P76" s="49">
        <v>3.88</v>
      </c>
      <c r="Q76" s="49">
        <v>3.7</v>
      </c>
      <c r="R76" s="49">
        <v>3.57</v>
      </c>
      <c r="S76" s="49">
        <v>3.52</v>
      </c>
      <c r="T76" s="49">
        <v>3.55</v>
      </c>
      <c r="U76" s="49">
        <v>3.5</v>
      </c>
      <c r="V76" s="49">
        <v>3.54</v>
      </c>
      <c r="W76" s="49">
        <v>3.47</v>
      </c>
      <c r="X76" s="49">
        <v>3.71</v>
      </c>
      <c r="Y76" s="49">
        <v>3.8</v>
      </c>
      <c r="Z76" s="49">
        <v>4</v>
      </c>
      <c r="AA76" s="49">
        <v>4.1100000000000003</v>
      </c>
      <c r="AB76" s="49">
        <v>4.22</v>
      </c>
      <c r="AC76" s="49">
        <v>4.22</v>
      </c>
      <c r="AD76" s="49">
        <v>4.6500000000000004</v>
      </c>
      <c r="AH76" t="s">
        <v>44</v>
      </c>
    </row>
    <row r="77" spans="1:34" x14ac:dyDescent="0.25">
      <c r="A77" s="1">
        <v>73</v>
      </c>
      <c r="B77" s="1" t="s">
        <v>52</v>
      </c>
      <c r="C77" s="16" t="s">
        <v>37</v>
      </c>
      <c r="D77" s="24">
        <v>46304.678171296298</v>
      </c>
      <c r="E77" s="52">
        <v>46308.678171296298</v>
      </c>
      <c r="F77" s="47" t="s">
        <v>51</v>
      </c>
      <c r="G77" s="41" t="e">
        <v>#N/A</v>
      </c>
      <c r="H77" s="46">
        <v>4.3600000000000003</v>
      </c>
      <c r="I77" s="46">
        <v>4.3899999999999997</v>
      </c>
      <c r="J77" s="46">
        <v>4.63</v>
      </c>
      <c r="K77" s="46">
        <v>4.45</v>
      </c>
      <c r="L77" s="46">
        <v>4.28</v>
      </c>
      <c r="M77" s="46">
        <v>4.28</v>
      </c>
      <c r="N77" s="46">
        <v>4.42</v>
      </c>
      <c r="O77" s="46">
        <v>4.38</v>
      </c>
      <c r="P77" s="46">
        <v>4.3899999999999997</v>
      </c>
      <c r="Q77" s="46">
        <v>4.26</v>
      </c>
      <c r="R77" s="46">
        <v>4.12</v>
      </c>
      <c r="S77" s="46">
        <v>4.0599999999999996</v>
      </c>
      <c r="T77" s="46">
        <v>4.09</v>
      </c>
      <c r="U77" s="46">
        <v>4.1399999999999997</v>
      </c>
      <c r="V77" s="46">
        <v>4.21</v>
      </c>
      <c r="W77" s="46">
        <v>4.13</v>
      </c>
      <c r="X77" s="46">
        <v>4.25</v>
      </c>
      <c r="Y77" s="46">
        <v>4.32</v>
      </c>
      <c r="Z77" s="46">
        <v>4.4800000000000004</v>
      </c>
      <c r="AA77" s="46">
        <v>4.47</v>
      </c>
      <c r="AB77" s="46">
        <v>4.5999999999999996</v>
      </c>
      <c r="AC77" s="46">
        <v>4.68</v>
      </c>
      <c r="AD77" s="46">
        <v>4.99</v>
      </c>
      <c r="AH77" t="s">
        <v>44</v>
      </c>
    </row>
    <row r="78" spans="1:34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2">
        <v>46308.710868055554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1">
        <v>0.34</v>
      </c>
      <c r="AE78" s="11"/>
      <c r="AH78" t="s">
        <v>10</v>
      </c>
    </row>
    <row r="79" spans="1:34" x14ac:dyDescent="0.25">
      <c r="A79" s="6">
        <v>75</v>
      </c>
      <c r="B79" s="6" t="s">
        <v>48</v>
      </c>
      <c r="C79" s="22" t="s">
        <v>37</v>
      </c>
      <c r="D79" s="21">
        <v>46304.678171296298</v>
      </c>
      <c r="E79" s="50">
        <v>46308.678171296298</v>
      </c>
      <c r="F79" s="45" t="s">
        <v>47</v>
      </c>
      <c r="G79" s="44" t="e">
        <v>#N/A</v>
      </c>
      <c r="H79" s="49">
        <v>2.0299999999999998</v>
      </c>
      <c r="I79" s="49">
        <v>2.09</v>
      </c>
      <c r="J79" s="49">
        <v>2.23</v>
      </c>
      <c r="K79" s="49">
        <v>2.0299999999999998</v>
      </c>
      <c r="L79" s="49">
        <v>1.95</v>
      </c>
      <c r="M79" s="49">
        <v>2.04</v>
      </c>
      <c r="N79" s="49">
        <v>2.11</v>
      </c>
      <c r="O79" s="49">
        <v>2.09</v>
      </c>
      <c r="P79" s="49">
        <v>2.0099999999999998</v>
      </c>
      <c r="Q79" s="49">
        <v>1.88</v>
      </c>
      <c r="R79" s="49">
        <v>1.75</v>
      </c>
      <c r="S79" s="49">
        <v>1.76</v>
      </c>
      <c r="T79" s="49">
        <v>1.83</v>
      </c>
      <c r="U79" s="49">
        <v>1.9</v>
      </c>
      <c r="V79" s="49">
        <v>1.91</v>
      </c>
      <c r="W79" s="49">
        <v>1.82</v>
      </c>
      <c r="X79" s="49">
        <v>1.91</v>
      </c>
      <c r="Y79" s="49">
        <v>1.94</v>
      </c>
      <c r="Z79" s="49">
        <v>2.04</v>
      </c>
      <c r="AA79" s="49">
        <v>2.1800000000000002</v>
      </c>
      <c r="AB79" s="49">
        <v>2.35</v>
      </c>
      <c r="AC79" s="49">
        <v>2.4</v>
      </c>
      <c r="AD79" s="49">
        <v>2.64</v>
      </c>
      <c r="AH79" t="s">
        <v>44</v>
      </c>
    </row>
    <row r="80" spans="1:34" x14ac:dyDescent="0.25">
      <c r="A80" s="1">
        <v>77</v>
      </c>
      <c r="B80" s="1" t="s">
        <v>46</v>
      </c>
      <c r="C80" s="16" t="s">
        <v>37</v>
      </c>
      <c r="D80" s="24">
        <v>46304.678217592591</v>
      </c>
      <c r="E80" s="48">
        <v>46308.678217592591</v>
      </c>
      <c r="F80" s="47" t="s">
        <v>45</v>
      </c>
      <c r="G80" s="41" t="e">
        <v>#N/A</v>
      </c>
      <c r="H80" s="46">
        <v>4.54</v>
      </c>
      <c r="I80" s="46">
        <v>4.58</v>
      </c>
      <c r="J80" s="46">
        <v>4.8499999999999996</v>
      </c>
      <c r="K80" s="46">
        <v>4.68</v>
      </c>
      <c r="L80" s="46">
        <v>4.5999999999999996</v>
      </c>
      <c r="M80" s="46">
        <v>4.71</v>
      </c>
      <c r="N80" s="46">
        <v>4.9000000000000004</v>
      </c>
      <c r="O80" s="46">
        <v>4.8899999999999997</v>
      </c>
      <c r="P80" s="46">
        <v>4.92</v>
      </c>
      <c r="Q80" s="46">
        <v>4.87</v>
      </c>
      <c r="R80" s="46">
        <v>4.74</v>
      </c>
      <c r="S80" s="46">
        <v>4.6399999999999997</v>
      </c>
      <c r="T80" s="46">
        <v>4.7</v>
      </c>
      <c r="U80" s="46">
        <v>4.8</v>
      </c>
      <c r="V80" s="46">
        <v>4.84</v>
      </c>
      <c r="W80" s="46">
        <v>4.76</v>
      </c>
      <c r="X80" s="46">
        <v>4.8499999999999996</v>
      </c>
      <c r="Y80" s="46">
        <v>4.91</v>
      </c>
      <c r="Z80" s="46">
        <v>5.03</v>
      </c>
      <c r="AA80" s="46">
        <v>4.95</v>
      </c>
      <c r="AB80" s="46">
        <v>5.0999999999999996</v>
      </c>
      <c r="AC80" s="46">
        <v>5.22</v>
      </c>
      <c r="AD80" s="46">
        <v>5.37</v>
      </c>
      <c r="AH80" t="s">
        <v>44</v>
      </c>
    </row>
    <row r="81" spans="1:34" x14ac:dyDescent="0.25">
      <c r="A81" s="25">
        <v>147</v>
      </c>
      <c r="B81" s="25" t="s">
        <v>43</v>
      </c>
      <c r="C81" s="16" t="s">
        <v>42</v>
      </c>
      <c r="D81" s="15">
        <v>46304.710856481484</v>
      </c>
      <c r="E81" s="14">
        <v>46308.710856481484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0">
        <v>0.9</v>
      </c>
      <c r="AH81" t="s">
        <v>10</v>
      </c>
    </row>
    <row r="82" spans="1:34" x14ac:dyDescent="0.25">
      <c r="A82" s="6">
        <v>67</v>
      </c>
      <c r="B82" s="6" t="s">
        <v>40</v>
      </c>
      <c r="C82" s="22" t="s">
        <v>37</v>
      </c>
      <c r="D82" s="21">
        <v>46300.678252314814</v>
      </c>
      <c r="E82" s="20">
        <v>46308.678252314814</v>
      </c>
      <c r="F82" s="45" t="s">
        <v>39</v>
      </c>
      <c r="G82" s="44" t="e">
        <v>#N/A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1.1505000000000001</v>
      </c>
      <c r="AH82" t="s">
        <v>6</v>
      </c>
    </row>
    <row r="83" spans="1:34" x14ac:dyDescent="0.25">
      <c r="A83" s="25">
        <v>65</v>
      </c>
      <c r="B83" s="25" t="s">
        <v>38</v>
      </c>
      <c r="C83" s="16" t="s">
        <v>37</v>
      </c>
      <c r="D83" s="15">
        <v>46300.678391203706</v>
      </c>
      <c r="E83" s="23">
        <v>46308.678391203706</v>
      </c>
      <c r="F83" s="42" t="s">
        <v>36</v>
      </c>
      <c r="G83" s="41" t="e">
        <v>#N/A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119.2152</v>
      </c>
      <c r="AH83" t="s">
        <v>10</v>
      </c>
    </row>
    <row r="84" spans="1:34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idden="1" x14ac:dyDescent="0.25">
      <c r="A118" s="10"/>
      <c r="B118" s="10"/>
      <c r="C118" s="10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idden="1" x14ac:dyDescent="0.25"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idden="1" x14ac:dyDescent="0.25"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idden="1" x14ac:dyDescent="0.25">
      <c r="A121" s="6"/>
      <c r="B121" s="6"/>
      <c r="C121" s="6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idden="1" x14ac:dyDescent="0.25">
      <c r="F122" s="1" t="s">
        <v>4</v>
      </c>
    </row>
    <row r="123" spans="1:30" hidden="1" x14ac:dyDescent="0.25"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idden="1" x14ac:dyDescent="0.25"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idden="1" x14ac:dyDescent="0.25"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idden="1" x14ac:dyDescent="0.25">
      <c r="F126" s="1" t="s">
        <v>3</v>
      </c>
    </row>
    <row r="127" spans="1:30" hidden="1" x14ac:dyDescent="0.25"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idden="1" x14ac:dyDescent="0.25"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idden="1" x14ac:dyDescent="0.25">
      <c r="F130" s="1" t="s">
        <v>4</v>
      </c>
    </row>
    <row r="131" spans="6:34" hidden="1" x14ac:dyDescent="0.25">
      <c r="F131" s="1" t="s">
        <v>2</v>
      </c>
      <c r="G131" s="3">
        <v>-10000000000</v>
      </c>
      <c r="H131" s="3">
        <v>2.00332</v>
      </c>
      <c r="I131" s="3">
        <v>-10000000000</v>
      </c>
      <c r="J131" s="3">
        <v>-10000000000</v>
      </c>
      <c r="K131" s="3">
        <v>-10000000000</v>
      </c>
      <c r="L131" s="3">
        <v>-10000000000</v>
      </c>
      <c r="M131" s="3">
        <v>-10000000000</v>
      </c>
      <c r="N131" s="3">
        <v>-10000000000</v>
      </c>
      <c r="O131" s="3">
        <v>-10000000000</v>
      </c>
      <c r="P131" s="3">
        <v>-10000000000</v>
      </c>
      <c r="Q131" s="3">
        <v>-10000000000</v>
      </c>
      <c r="R131" s="3">
        <v>-10000000000</v>
      </c>
      <c r="S131" s="3">
        <v>-10000000000</v>
      </c>
      <c r="T131" s="3">
        <v>-10000000000</v>
      </c>
      <c r="U131" s="3">
        <v>-10000000000</v>
      </c>
      <c r="V131" s="3">
        <v>-10000000000</v>
      </c>
      <c r="W131" s="3">
        <v>-10000000000</v>
      </c>
      <c r="X131" s="3">
        <v>-10000000000</v>
      </c>
      <c r="Y131" s="3">
        <v>-10000000000</v>
      </c>
      <c r="Z131" s="3">
        <v>-10000000000</v>
      </c>
      <c r="AA131" s="3">
        <v>-10000000000</v>
      </c>
      <c r="AB131" s="3">
        <v>-10000000000</v>
      </c>
      <c r="AC131" s="3">
        <v>-10000000000</v>
      </c>
      <c r="AD131" s="3" t="e">
        <v>#N/A</v>
      </c>
      <c r="AH131">
        <v>83</v>
      </c>
    </row>
    <row r="132" spans="6:34" hidden="1" x14ac:dyDescent="0.25">
      <c r="F132" s="1" t="s">
        <v>1</v>
      </c>
      <c r="G132" s="3">
        <v>-1.32026</v>
      </c>
      <c r="H132" s="3">
        <v>-10000000000</v>
      </c>
      <c r="I132" s="3">
        <v>-10000000000</v>
      </c>
      <c r="J132" s="3">
        <v>-10000000000</v>
      </c>
      <c r="K132" s="3">
        <v>-10000000000</v>
      </c>
      <c r="L132" s="3">
        <v>-10000000000</v>
      </c>
      <c r="M132" s="3">
        <v>-10000000000</v>
      </c>
      <c r="N132" s="3">
        <v>1.8177700000000001</v>
      </c>
      <c r="O132" s="3">
        <v>1.82314</v>
      </c>
      <c r="P132" s="3">
        <v>2.1143399999999999</v>
      </c>
      <c r="Q132" s="3">
        <v>-10000000000</v>
      </c>
      <c r="R132" s="3">
        <v>-10000000000</v>
      </c>
      <c r="S132" s="3">
        <v>3.1039699999999999</v>
      </c>
      <c r="T132" s="3">
        <v>-10000000000</v>
      </c>
      <c r="U132" s="3">
        <v>3.4494099999999999</v>
      </c>
      <c r="V132" s="3">
        <v>2.7845900000000001</v>
      </c>
      <c r="W132" s="3">
        <v>-10000000000</v>
      </c>
      <c r="X132" s="3">
        <v>-10000000000</v>
      </c>
      <c r="Y132" s="3">
        <v>-10000000000</v>
      </c>
      <c r="Z132" s="3">
        <v>-10000000000</v>
      </c>
      <c r="AA132" s="3">
        <v>-10000000000</v>
      </c>
      <c r="AB132" s="3">
        <v>-10000000000</v>
      </c>
      <c r="AC132" s="3">
        <v>-10000000000</v>
      </c>
      <c r="AD132" s="3" t="e">
        <v>#N/A</v>
      </c>
    </row>
    <row r="133" spans="6:34" hidden="1" x14ac:dyDescent="0.25">
      <c r="F133" s="1" t="s">
        <v>0</v>
      </c>
      <c r="G133" s="3">
        <v>-10000000000</v>
      </c>
      <c r="H133" s="3">
        <v>-10000000000</v>
      </c>
      <c r="I133" s="3">
        <v>4.7821400000000001</v>
      </c>
      <c r="J133" s="3">
        <v>8.6400299999999994</v>
      </c>
      <c r="K133" s="3">
        <v>9.3640600000000003</v>
      </c>
      <c r="L133" s="3">
        <v>6.5289299999999999</v>
      </c>
      <c r="M133" s="3">
        <v>0.27726000000000001</v>
      </c>
      <c r="N133" s="3">
        <v>-10000000000</v>
      </c>
      <c r="O133" s="3">
        <v>-10000000000</v>
      </c>
      <c r="P133" s="3">
        <v>-10000000000</v>
      </c>
      <c r="Q133" s="3">
        <v>1.4526600000000001</v>
      </c>
      <c r="R133" s="3">
        <v>3.4353099999999999</v>
      </c>
      <c r="S133" s="3">
        <v>-10000000000</v>
      </c>
      <c r="T133" s="3">
        <v>1.89177</v>
      </c>
      <c r="U133" s="3">
        <v>-10000000000</v>
      </c>
      <c r="V133" s="3">
        <v>-10000000000</v>
      </c>
      <c r="W133" s="3">
        <v>5.3440700000000003</v>
      </c>
      <c r="X133" s="3">
        <v>9.3355499999999996</v>
      </c>
      <c r="Y133" s="3">
        <v>15.40253</v>
      </c>
      <c r="Z133" s="3">
        <v>20.728020000000001</v>
      </c>
      <c r="AA133" s="3">
        <v>10.44711</v>
      </c>
      <c r="AB133" s="3">
        <v>9.8271599999999992</v>
      </c>
      <c r="AC133" s="3">
        <v>13.063190000000001</v>
      </c>
      <c r="AD133" s="3" t="e">
        <v>#N/A</v>
      </c>
    </row>
    <row r="134" spans="6:34" hidden="1" x14ac:dyDescent="0.25">
      <c r="F134" s="1" t="s"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6:34" hidden="1" x14ac:dyDescent="0.25">
      <c r="F135" s="1" t="s">
        <v>2</v>
      </c>
      <c r="G135" s="3">
        <v>10000000000</v>
      </c>
      <c r="H135" s="3">
        <v>10000000000</v>
      </c>
      <c r="I135" s="3">
        <v>10000000000</v>
      </c>
      <c r="J135" s="3">
        <v>10000000000</v>
      </c>
      <c r="K135" s="3">
        <v>10000000000</v>
      </c>
      <c r="L135" s="3">
        <v>10000000000</v>
      </c>
      <c r="M135" s="3">
        <v>0.29111999999999999</v>
      </c>
      <c r="N135" s="3">
        <v>10000000000</v>
      </c>
      <c r="O135" s="3">
        <v>1.8916599999999999</v>
      </c>
      <c r="P135" s="3">
        <v>1.9171</v>
      </c>
      <c r="Q135" s="3">
        <v>1.9361200000000001</v>
      </c>
      <c r="R135" s="3">
        <v>3.10771</v>
      </c>
      <c r="S135" s="3">
        <v>10000000000</v>
      </c>
      <c r="T135" s="3">
        <v>2.7689699999999999</v>
      </c>
      <c r="U135" s="3">
        <v>2.15889</v>
      </c>
      <c r="V135" s="3">
        <v>1.11154</v>
      </c>
      <c r="W135" s="3">
        <v>1.6553800000000001</v>
      </c>
      <c r="X135" s="3">
        <v>10000000000</v>
      </c>
      <c r="Y135" s="3">
        <v>10000000000</v>
      </c>
      <c r="Z135" s="3">
        <v>10000000000</v>
      </c>
      <c r="AA135" s="3">
        <v>6.55274</v>
      </c>
      <c r="AB135" s="3">
        <v>5.7949400000000004</v>
      </c>
      <c r="AC135" s="3">
        <v>6.5589300000000001</v>
      </c>
      <c r="AD135" s="3" t="e">
        <v>#N/A</v>
      </c>
    </row>
    <row r="136" spans="6:34" hidden="1" x14ac:dyDescent="0.25">
      <c r="F136" s="1" t="s">
        <v>1</v>
      </c>
      <c r="G136" s="3">
        <v>10000000000</v>
      </c>
      <c r="H136" s="3">
        <v>10000000000</v>
      </c>
      <c r="I136" s="3">
        <v>9.7409999999999997E-2</v>
      </c>
      <c r="J136" s="3">
        <v>0.96982999999999997</v>
      </c>
      <c r="K136" s="3">
        <v>0.28866000000000003</v>
      </c>
      <c r="L136" s="3">
        <v>0.69299999999999995</v>
      </c>
      <c r="M136" s="3">
        <v>10000000000</v>
      </c>
      <c r="N136" s="3">
        <v>10000000000</v>
      </c>
      <c r="O136" s="3">
        <v>10000000000</v>
      </c>
      <c r="P136" s="3">
        <v>10000000000</v>
      </c>
      <c r="Q136" s="3">
        <v>10000000000</v>
      </c>
      <c r="R136" s="3">
        <v>10000000000</v>
      </c>
      <c r="S136" s="3">
        <v>10000000000</v>
      </c>
      <c r="T136" s="3">
        <v>10000000000</v>
      </c>
      <c r="U136" s="3">
        <v>10000000000</v>
      </c>
      <c r="V136" s="3">
        <v>10000000000</v>
      </c>
      <c r="W136" s="3">
        <v>10000000000</v>
      </c>
      <c r="X136" s="3">
        <v>6.9090499999999997</v>
      </c>
      <c r="Y136" s="3">
        <v>9.4268000000000001</v>
      </c>
      <c r="Z136" s="3">
        <v>12.209860000000001</v>
      </c>
      <c r="AA136" s="3">
        <v>10000000000</v>
      </c>
      <c r="AB136" s="3">
        <v>10000000000</v>
      </c>
      <c r="AC136" s="3">
        <v>10000000000</v>
      </c>
      <c r="AD136" s="3" t="e">
        <v>#N/A</v>
      </c>
      <c r="AH136">
        <v>87</v>
      </c>
    </row>
    <row r="137" spans="6:34" hidden="1" x14ac:dyDescent="0.25">
      <c r="F137" s="1" t="s">
        <v>0</v>
      </c>
      <c r="G137" s="3">
        <v>-4.3331</v>
      </c>
      <c r="H137" s="3">
        <v>-2.0904600000000002</v>
      </c>
      <c r="I137" s="3">
        <v>10000000000</v>
      </c>
      <c r="J137" s="3">
        <v>10000000000</v>
      </c>
      <c r="K137" s="3">
        <v>10000000000</v>
      </c>
      <c r="L137" s="3">
        <v>10000000000</v>
      </c>
      <c r="M137" s="3">
        <v>10000000000</v>
      </c>
      <c r="N137" s="3">
        <v>-1.1279399999999999</v>
      </c>
      <c r="O137" s="3">
        <v>10000000000</v>
      </c>
      <c r="P137" s="3">
        <v>10000000000</v>
      </c>
      <c r="Q137" s="3">
        <v>10000000000</v>
      </c>
      <c r="R137" s="3">
        <v>10000000000</v>
      </c>
      <c r="S137" s="3">
        <v>-0.64237999999999995</v>
      </c>
      <c r="T137" s="3">
        <v>10000000000</v>
      </c>
      <c r="U137" s="3">
        <v>10000000000</v>
      </c>
      <c r="V137" s="3">
        <v>10000000000</v>
      </c>
      <c r="W137" s="3">
        <v>10000000000</v>
      </c>
      <c r="X137" s="3">
        <v>10000000000</v>
      </c>
      <c r="Y137" s="3">
        <v>10000000000</v>
      </c>
      <c r="Z137" s="3">
        <v>10000000000</v>
      </c>
      <c r="AA137" s="3">
        <v>10000000000</v>
      </c>
      <c r="AB137" s="3">
        <v>10000000000</v>
      </c>
      <c r="AC137" s="3">
        <v>10000000000</v>
      </c>
      <c r="AD137" s="3" t="e">
        <v>#N/A</v>
      </c>
    </row>
    <row r="138" spans="6:34" hidden="1" x14ac:dyDescent="0.25"/>
    <row r="139" spans="6:34" ht="16.5" hidden="1" customHeight="1" x14ac:dyDescent="0.25"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idden="1" x14ac:dyDescent="0.25"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idden="1" x14ac:dyDescent="0.25"/>
    <row r="142" spans="6:34" hidden="1" x14ac:dyDescent="0.25"/>
    <row r="143" spans="6:34" hidden="1" x14ac:dyDescent="0.25"/>
    <row r="144" spans="6:34" hidden="1" x14ac:dyDescent="0.25"/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59570CE4-F1A7-4DEB-BEF1-9189FC5F643B}">
      <formula1>FormatOptions</formula1>
    </dataValidation>
  </dataValidations>
  <hyperlinks>
    <hyperlink ref="C4" r:id="rId1" display="https://fred.stlouisfed.org/series/MPCTXXXXS" xr:uid="{88492EB0-DAFC-43DA-AA6E-8ABFACDF74DA}"/>
    <hyperlink ref="C5" r:id="rId2" display="https://fred.stlouisfed.org/series/TLPRVCONS" xr:uid="{51ED0711-A4A6-4EC0-87CD-768952C59674}"/>
    <hyperlink ref="C6" r:id="rId3" display="https://fred.stlouisfed.org/series/TLRESCONS" xr:uid="{A6E57FC2-44A8-4D77-8BE4-1588F7A4FB82}"/>
    <hyperlink ref="C7" r:id="rId4" display="https://fred.stlouisfed.org/series/TLHWYCONS" xr:uid="{E342A80F-5D09-43A4-A607-108DA69F5250}"/>
    <hyperlink ref="C8" r:id="rId5" display="https://fred.stlouisfed.org/series/HSN1F" xr:uid="{4CAC796E-C454-48BC-AF5D-7E487E64DBF8}"/>
    <hyperlink ref="C9" r:id="rId6" display="https://fred.stlouisfed.org/series/HOUST" xr:uid="{4C50C442-CEB4-464C-A8B4-698DA3C83E77}"/>
    <hyperlink ref="C11" r:id="rId7" display="https://fred.stlouisfed.org/series/UNDCONTSA" xr:uid="{0F260AED-6919-40F9-9FA9-A03647350B4D}"/>
    <hyperlink ref="C12" r:id="rId8" display="https://fred.stlouisfed.org/series/PERMIT" xr:uid="{2B84BD33-2999-44E3-8621-426775320981}"/>
    <hyperlink ref="C13" r:id="rId9" display="https://fred.stlouisfed.org/series/MORTGAGE30US" xr:uid="{0C2ED4C5-488A-4BBE-B4EA-1B363F96129E}"/>
    <hyperlink ref="C16" r:id="rId10" display="https://fred.stlouisfed.org/series/ALTSALES" xr:uid="{29943286-2182-46B4-97CE-C4CAA8FB7BA2}"/>
    <hyperlink ref="C17" r:id="rId11" display="https://fred.stlouisfed.org/series/AISRSA" xr:uid="{4103B93B-1544-4C95-82DF-D24BA8BC1267}"/>
    <hyperlink ref="C18" r:id="rId12" display="https://fred.stlouisfed.org/series/DAUTOSAAR" xr:uid="{E2C40C17-B823-4590-A2F0-D99B1E4BC214}"/>
    <hyperlink ref="C19" r:id="rId13" display="https://fred.stlouisfed.org/series/DAUPSA" xr:uid="{02184A29-46CE-4577-906C-BA2DEC01002C}"/>
    <hyperlink ref="C23" r:id="rId14" display="https://fred.stlouisfed.org/series/UNEMPLOY" xr:uid="{BA2E6E8F-FC3F-481F-9213-80A99F0C1C73}"/>
    <hyperlink ref="C24" r:id="rId15" display="https://fred.stlouisfed.org/series/UNRATE" xr:uid="{381059A2-79C3-4DCF-B9BD-B20984340AAB}"/>
    <hyperlink ref="C25" r:id="rId16" display="https://fred.stlouisfed.org/series/AWHNONAG" xr:uid="{BB856BE4-5360-486E-82EA-14FA7C8FC7A1}"/>
    <hyperlink ref="C26" r:id="rId17" display="https://fred.stlouisfed.org/series/CLF16OV" xr:uid="{480742D5-D142-4908-8C6C-D31527FEA5D2}"/>
    <hyperlink ref="C29" r:id="rId18" display="https://fred.stlouisfed.org/series/INDPRO" xr:uid="{390EB9FD-4F2A-4C45-800A-919FE9BD7FEF}"/>
    <hyperlink ref="C30" r:id="rId19" display="https://fred.stlouisfed.org/series/TCU" xr:uid="{8183AACC-1A78-4FC7-97E8-AABE9E09E1DF}"/>
    <hyperlink ref="C31" r:id="rId20" display="https://fred.stlouisfed.org/series/AMTMNO" xr:uid="{38FA034D-65D2-4523-A5A8-5240DF6B26F0}"/>
    <hyperlink ref="C32" r:id="rId21" display="https://fred.stlouisfed.org/series/DGORDER" xr:uid="{7FFC5C59-24F5-47E2-B40A-0F347501A82B}"/>
    <hyperlink ref="C33" r:id="rId22" display="https://fred.stlouisfed.org/series/ANXAVS" xr:uid="{CF941BB3-EEF8-4DC1-ADB0-6882150A6C4B}"/>
    <hyperlink ref="C36" r:id="rId23" display="https://fred.stlouisfed.org/series/BUSINV" xr:uid="{E9FB583A-0D83-4091-A98A-8690479AF6EC}"/>
    <hyperlink ref="C37" r:id="rId24" display="https://fred.stlouisfed.org/series/ISRATIO" xr:uid="{C666B7C2-6CEE-46B1-B571-8EDBB9FD7C4F}"/>
    <hyperlink ref="C38" r:id="rId25" display="https://fred.stlouisfed.org/series/RETAILMPCIMSA" xr:uid="{D3A86B1A-98E7-4167-BF41-DBE652B682B9}"/>
    <hyperlink ref="C39" r:id="rId26" display="https://fred.stlouisfed.org/series/ACNGTI" xr:uid="{A35BC242-06E8-4D6F-A8F7-F426E6559583}"/>
    <hyperlink ref="C42" r:id="rId27" display="https://fred.stlouisfed.org/series/CPIAUCSL" xr:uid="{6CAED720-D0B9-4D5D-89A9-391B538440FA}"/>
    <hyperlink ref="C43" r:id="rId28" display="https://fred.stlouisfed.org/series/CPIFABSL" xr:uid="{DE84378F-AE11-4685-8846-B5B5103B4C3F}"/>
    <hyperlink ref="C44" r:id="rId29" display="https://fred.stlouisfed.org/series/CPIENGSL" xr:uid="{E0181EC3-C708-465E-821D-95277897B72C}"/>
    <hyperlink ref="C45" r:id="rId30" display="https://fred.stlouisfed.org/series/CPILFESL" xr:uid="{F9A83B9D-71DE-43F7-ADB5-BCDF2CDDA9E4}"/>
    <hyperlink ref="C48" r:id="rId31" display="https://fred.stlouisfed.org/series/WPUFD49207" xr:uid="{45871092-8FC4-40F6-8492-8E5DD0961E1E}"/>
    <hyperlink ref="C49" r:id="rId32" display="https://fred.stlouisfed.org/series/WPSID61" xr:uid="{12F56867-DE78-444C-8FE0-7C48B7F74FDF}"/>
    <hyperlink ref="C50" r:id="rId33" display="https://fred.stlouisfed.org/series/PRAWMINDEXM" xr:uid="{DECC3A48-9115-4F9A-ACDB-BC793C9F6794}"/>
    <hyperlink ref="C52" r:id="rId34" display="https://fred.stlouisfed.org/series/DCOILWTICO" xr:uid="{AF0D0BB8-32D2-40AD-A94C-2653CB33784A}"/>
    <hyperlink ref="C53" r:id="rId35" display="https://fred.stlouisfed.org/series/DCOILBRENTEU" xr:uid="{467B1EE6-8799-4E3C-9B0D-4707E5945CDB}"/>
    <hyperlink ref="C54" r:id="rId36" display="https://fred.stlouisfed.org/series/DHHNGSP" xr:uid="{1F895757-63B9-494F-A4FF-F6080DFB290D}"/>
    <hyperlink ref="C58" r:id="rId37" display="https://fred.stlouisfed.org/series/DHHNGSP" xr:uid="{A89B5976-1F8F-4ECE-B907-2428BAFE699B}"/>
    <hyperlink ref="C59" r:id="rId38" display="https://fred.stlouisfed.org/series/PI" xr:uid="{4F0D0A91-9D7B-4767-B4DB-2ED9BC2AF842}"/>
    <hyperlink ref="C60" r:id="rId39" display="https://fred.stlouisfed.org/series/DSPI" xr:uid="{1AC8416C-8AAD-4627-A04C-E7157DB4F40B}"/>
    <hyperlink ref="C61" r:id="rId40" display="https://fred.stlouisfed.org/series/A229RX0" xr:uid="{72DA8C32-A6A0-4B5E-A0F0-71B88D192ECC}"/>
    <hyperlink ref="C62" r:id="rId41" display="https://fred.stlouisfed.org/series/PSAVERT" xr:uid="{321E91F4-5E3B-4FDD-94DD-8CDB479205DF}"/>
    <hyperlink ref="C63" r:id="rId42" display="https://fred.stlouisfed.org/series/PCE" xr:uid="{6B08D37A-82E1-476D-B243-DAD6A5812006}"/>
    <hyperlink ref="C64" r:id="rId43" display="https://fred.stlouisfed.org/series/PCEC96" xr:uid="{690EE849-E3CF-4FBC-B09B-6A42B5FA4074}"/>
    <hyperlink ref="C65" r:id="rId44" display="https://fred.stlouisfed.org/series/MRTSMPCSM44X72USS" xr:uid="{0161B883-9F92-490D-B7B7-23697DC57532}"/>
    <hyperlink ref="C66" r:id="rId45" display="https://fred.stlouisfed.org/series/TOTALSL" xr:uid="{2AB2F327-11E4-4BA3-B1A9-6540C7B9BFD0}"/>
    <hyperlink ref="C67" r:id="rId46" display="https://fred.stlouisfed.org/series/PCEND" xr:uid="{56A85A3A-23F6-4421-8AA5-7C2450E4FE09}"/>
    <hyperlink ref="C68" r:id="rId47" display="https://fred.stlouisfed.org/series/A22BVS" xr:uid="{E6EE3BD4-804A-46F1-A048-0C5F8C03F0F3}"/>
    <hyperlink ref="C71" r:id="rId48" display="https://fred.stlouisfed.org/series/M1SL" xr:uid="{9E9F5E70-7074-419D-B9C1-3D43045B4F67}"/>
    <hyperlink ref="C72" r:id="rId49" display="https://fred.stlouisfed.org/series/M2SL" xr:uid="{79D018E4-63A0-4779-911B-85E67FA26776}"/>
    <hyperlink ref="C74" r:id="rId50" display="https://fred.stlouisfed.org/series/DTB3" xr:uid="{DD3AE14C-BC47-4CD2-9CC5-0FD9F277BAA1}"/>
    <hyperlink ref="C75" r:id="rId51" display="https://fred.stlouisfed.org/series/DPRIME" xr:uid="{58055FE9-5E72-4B60-B5A4-93A160022241}"/>
    <hyperlink ref="C76" r:id="rId52" display="https://fred.stlouisfed.org/series/DGS10" xr:uid="{38BD90B9-DB91-445C-B6EB-FC4203135E9B}"/>
    <hyperlink ref="C79" r:id="rId53" display="https://fred.stlouisfed.org/series/DFII10" xr:uid="{64A044AA-484E-4D65-84C0-B04E92E37CA9}"/>
    <hyperlink ref="C80" r:id="rId54" display="https://fred.stlouisfed.org/series/DGS30" xr:uid="{47BD0F7F-EAF5-4B4F-AD96-8A68085225E3}"/>
    <hyperlink ref="C82" r:id="rId55" display="https://fred.stlouisfed.org/series/DEXUSEU" xr:uid="{6CE12038-E30E-4370-941D-15E93C227966}"/>
    <hyperlink ref="C83" r:id="rId56" display="https://fred.stlouisfed.org/series/DTWEXBGS" xr:uid="{B394A429-564E-481A-AFF6-BFEAE5177221}"/>
    <hyperlink ref="C87" r:id="rId57" display="https://fred.stlouisfed.org/series/GDPC1" xr:uid="{4034F284-75B4-4569-9E76-4B32421526E3}"/>
    <hyperlink ref="C88" r:id="rId58" display="https://fred.stlouisfed.org/series/GDP" xr:uid="{588DED00-9B68-4F1C-8F32-8C4D21136C50}"/>
    <hyperlink ref="C89" r:id="rId59" display="https://fred.stlouisfed.org/series/PCEDG" xr:uid="{564F3239-EBC9-4EF7-84D7-3ACD7B166BF1}"/>
    <hyperlink ref="C90" r:id="rId60" display="https://fred.stlouisfed.org/series/PNFIC1" xr:uid="{11DC3ED1-F2D4-4744-9260-2A1220A68388}"/>
    <hyperlink ref="C91" r:id="rId61" display="https://fred.stlouisfed.org/series/PRFIC1" xr:uid="{C14B1D11-3EB3-4303-A4E0-961C355CB636}"/>
    <hyperlink ref="C92" r:id="rId62" display="https://fred.stlouisfed.org/series/CBI" xr:uid="{45429FC9-3AA3-4A0D-A103-B6DCBDFB02E3}"/>
    <hyperlink ref="C93" r:id="rId63" display="https://fred.stlouisfed.org/series/NETEXC" xr:uid="{623792BD-5A1A-45A7-9D65-4FFE3FAED79A}"/>
    <hyperlink ref="C94" r:id="rId64" display="https://fred.stlouisfed.org/series/IEABC" xr:uid="{CDF709E8-2580-4B9D-A34F-9D4E79C83A96}"/>
    <hyperlink ref="C73" r:id="rId65" display="https://fred.stlouisfed.org/series/BOPGSTB" xr:uid="{C430C1FD-32E0-4CF6-8DD9-A1BAE4550003}"/>
    <hyperlink ref="C95" r:id="rId66" display="https://fred.stlouisfed.org/series/GCEC1" xr:uid="{582D6B52-63D9-4D4B-955C-669DDDE74A70}"/>
    <hyperlink ref="C96" r:id="rId67" display="https://fred.stlouisfed.org/series/EVACANTUSQ176N" xr:uid="{6212F3CD-E92F-4CE2-8E6E-CBBF5D8AE27E}"/>
    <hyperlink ref="C81" r:id="rId68" display="https://fred.stlouisfed.org/series/DTWEXBGS" xr:uid="{D48A420B-44AA-4745-B5B8-7E8DFE64327C}"/>
    <hyperlink ref="C78" r:id="rId69" display="https://fred.stlouisfed.org/series/DTWEXBGS" xr:uid="{12C20E0D-844F-477E-B275-824D512F1252}"/>
    <hyperlink ref="C77" r:id="rId70" display="https://fred.stlouisfed.org/series/DGS10" xr:uid="{A17D4AF5-3A65-4E13-8B7F-487D054CD9B7}"/>
    <hyperlink ref="C51" r:id="rId71" display="https://fred.stlouisfed.org/series/PRAWMINDEXM" xr:uid="{D148DAA5-1E60-4666-8AB7-856546DB8AF7}"/>
    <hyperlink ref="C22" r:id="rId72" display="https://fred.stlouisfed.org/series/PAYEMS" xr:uid="{8FA511F7-8A6D-45CA-9397-57D9EA0A8D79}"/>
  </hyperlinks>
  <pageMargins left="0.25" right="0.25" top="0.25" bottom="0.25" header="0.3" footer="0.3"/>
  <pageSetup scale="64" orientation="landscape" r:id="rId73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261010 EconSheet</vt:lpstr>
      <vt:lpstr>'261010 EconSheet'!Conditions</vt:lpstr>
      <vt:lpstr>'261010 EconSheet'!DataTable</vt:lpstr>
      <vt:lpstr>'261010 EconSheet'!DataTableStart</vt:lpstr>
      <vt:lpstr>'261010 EconSheet'!DatesAndSeries</vt:lpstr>
      <vt:lpstr>'261010 EconSheet'!DatesCol</vt:lpstr>
      <vt:lpstr>'261010 EconSheet'!ESSeries</vt:lpstr>
      <vt:lpstr>'261010 EconSheet'!FormatTable</vt:lpstr>
      <vt:lpstr>'261010 EconSheet'!Print_Area</vt:lpstr>
      <vt:lpstr>'261010 EconSheet'!SpFormat1</vt:lpstr>
      <vt:lpstr>'261010 EconSheet'!SpFormat2</vt:lpstr>
      <vt:lpstr>'261010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2026-10-10T11:58:26Z</dcterms:created>
  <dcterms:modified xsi:type="dcterms:W3CDTF">2026-10-10T11:58:29Z</dcterms:modified>
</cp:coreProperties>
</file>