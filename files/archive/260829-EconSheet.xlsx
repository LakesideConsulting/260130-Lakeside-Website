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C9C4407A-3F04-4502-B5CC-460C03A50722}" xr6:coauthVersionLast="47" xr6:coauthVersionMax="47" xr10:uidLastSave="{00000000-0000-0000-0000-000000000000}"/>
  <bookViews>
    <workbookView xWindow="-28920" yWindow="2280" windowWidth="29040" windowHeight="15720" xr2:uid="{FC26D5FC-357F-4975-A7AC-88D66603DF21}"/>
  </bookViews>
  <sheets>
    <sheet name="260829 EconSheet" sheetId="1" r:id="rId1"/>
  </sheets>
  <externalReferences>
    <externalReference r:id="rId2"/>
  </externalReferences>
  <definedNames>
    <definedName name="_xlnm._FilterDatabase" localSheetId="0" hidden="1">'260829 EconSheet'!$A$28:$AF$33</definedName>
    <definedName name="Conditions" localSheetId="0">'260829 EconSheet'!$AH$3:$AH$96</definedName>
    <definedName name="CurrDates">[1]Currencies!$A$8:$A$14337</definedName>
    <definedName name="DataStart">'[1]Retrieved Data'!$A$1</definedName>
    <definedName name="DataTable" localSheetId="0">'260829 EconSheet'!$G$4:$AD$96</definedName>
    <definedName name="DataTableStart" localSheetId="0">'260829 EconSheet'!$G$4</definedName>
    <definedName name="DatesAndSeries" localSheetId="0">'260829 EconSheet'!$E$4:$F$96</definedName>
    <definedName name="DatesAndSeries">[1]EconSheet!$E$4:$F$96</definedName>
    <definedName name="DatesCol" localSheetId="0">'260829 EconSheet'!$E$4:$E$96</definedName>
    <definedName name="DatesCol">[1]EconSheet!$E$4:$E$96</definedName>
    <definedName name="ESSeries" localSheetId="0">'260829 EconSheet'!$B$4:$B$103</definedName>
    <definedName name="ForceAll" localSheetId="0">'260829 EconSheet'!#REF!</definedName>
    <definedName name="FormatOptions">[1]Calculations!$U$3:$U$14</definedName>
    <definedName name="FormatTable" localSheetId="0">'260829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'260829 EconSheet'!$F$1:$AD$54,'260829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'260829 EconSheet'!$AH$131</definedName>
    <definedName name="SpFormat2" localSheetId="0">'260829 EconSheet'!$AH$136</definedName>
    <definedName name="TrueFalse" localSheetId="0">'260829 EconSheet'!#REF!</definedName>
    <definedName name="TrueFalse">[1]EconSheet!$AU$1:$AU$2</definedName>
    <definedName name="WholeTable" localSheetId="0">'260829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E51" authorId="0" shapeId="0" xr:uid="{C1463B36-D1C8-424C-9D49-59F14D36690F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  <comment ref="AD79" authorId="0" shapeId="0" xr:uid="{DAA536C8-3F8C-40FF-A8EA-155E36C919F0}">
      <text>
        <r>
          <rPr>
            <sz val="9"/>
            <color indexed="81"/>
            <rFont val="Tahoma"/>
            <family val="2"/>
          </rPr>
          <t>Previous Value:
2.40</t>
        </r>
      </text>
    </comment>
    <comment ref="AD80" authorId="0" shapeId="0" xr:uid="{6C28F401-F170-4D75-BD54-E0279680D192}">
      <text>
        <r>
          <rPr>
            <sz val="9"/>
            <color indexed="81"/>
            <rFont val="Tahoma"/>
            <family val="2"/>
          </rPr>
          <t>Previous Value:
5.23</t>
        </r>
      </text>
    </comment>
    <comment ref="AD81" authorId="0" shapeId="0" xr:uid="{7274533D-1340-4748-BC9B-053954BCC1BA}">
      <text>
        <r>
          <rPr>
            <sz val="9"/>
            <color indexed="81"/>
            <rFont val="Tahoma"/>
            <family val="2"/>
          </rPr>
          <t>Previous Value:
0.80</t>
        </r>
      </text>
    </comment>
  </commentList>
</comments>
</file>

<file path=xl/sharedStrings.xml><?xml version="1.0" encoding="utf-8"?>
<sst xmlns="http://schemas.openxmlformats.org/spreadsheetml/2006/main" count="420" uniqueCount="191">
  <si>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</si>
  <si>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</si>
  <si>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</si>
  <si>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</si>
  <si>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</si>
  <si>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</si>
  <si>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</si>
  <si>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</si>
  <si>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</si>
  <si>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</si>
  <si>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</si>
  <si>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</si>
  <si>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</si>
  <si>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</si>
  <si>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</si>
  <si>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</si>
  <si>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</si>
  <si>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</si>
  <si>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</si>
  <si>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</si>
  <si>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</si>
  <si>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</si>
  <si>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</si>
  <si>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</si>
  <si>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</si>
  <si>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</si>
  <si>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</si>
  <si>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</si>
  <si>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</si>
  <si>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</si>
  <si>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</si>
  <si>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</si>
  <si>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</si>
  <si>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</si>
  <si>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</si>
  <si>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</si>
  <si>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</si>
  <si>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</si>
  <si>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</si>
  <si>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</si>
  <si>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</si>
  <si>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</si>
  <si>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</si>
  <si>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</si>
  <si>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</si>
  <si>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</si>
  <si>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</si>
  <si>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</si>
  <si>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</si>
  <si>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</si>
  <si>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</si>
  <si>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</si>
  <si>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</si>
  <si>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</si>
  <si>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</si>
  <si>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</si>
  <si>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</si>
  <si>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</si>
  <si>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</si>
  <si>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</si>
  <si>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</si>
  <si>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</si>
  <si>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</si>
  <si>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</si>
  <si>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</si>
  <si>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</si>
  <si>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</si>
  <si>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</si>
  <si>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</si>
  <si>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</si>
  <si>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</si>
  <si>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</si>
  <si>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</si>
  <si>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</si>
  <si>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</si>
  <si>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</si>
  <si>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</si>
  <si>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</si>
  <si>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</si>
  <si>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</si>
  <si>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</si>
  <si>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</si>
  <si>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</si>
  <si>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</si>
  <si>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</si>
  <si>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</si>
  <si>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</si>
  <si>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</si>
  <si>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</si>
  <si>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</si>
  <si>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</si>
  <si>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</si>
  <si>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</si>
  <si>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</si>
  <si>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</si>
  <si>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</si>
  <si>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</si>
  <si>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</si>
  <si>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</si>
  <si>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</si>
  <si>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</si>
  <si>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</si>
  <si>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</si>
  <si>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</si>
  <si>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</si>
  <si>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</si>
  <si>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</si>
  <si>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</si>
  <si>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</si>
  <si>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</si>
  <si>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</si>
  <si>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</si>
  <si>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</si>
  <si>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</si>
  <si>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</si>
  <si>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</si>
  <si>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</si>
  <si>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</si>
  <si>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</si>
  <si>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</si>
  <si>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</si>
  <si>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</si>
  <si>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</si>
  <si>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</si>
  <si>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</si>
  <si>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</si>
  <si>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</si>
  <si>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</si>
  <si>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</si>
  <si>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</si>
  <si>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</si>
  <si>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</si>
  <si>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</si>
  <si>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</si>
  <si>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</si>
  <si>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</si>
  <si>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</si>
  <si>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</si>
  <si>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</si>
  <si>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</si>
  <si>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</si>
  <si>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</si>
  <si>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</si>
  <si>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</si>
  <si>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</si>
  <si>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</si>
  <si>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</si>
  <si>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</si>
  <si>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</si>
  <si>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</si>
  <si>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</si>
  <si>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</si>
  <si>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</si>
  <si>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</si>
  <si>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</si>
  <si>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</si>
  <si>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</si>
  <si>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</si>
  <si>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</si>
  <si>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</si>
  <si>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</si>
  <si>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</si>
  <si>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</si>
  <si>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</si>
  <si>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</si>
  <si>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</si>
  <si>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</si>
  <si>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</si>
  <si>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</si>
  <si>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</si>
  <si>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</si>
  <si>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</si>
  <si>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</si>
  <si>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</si>
  <si>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</si>
  <si>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</si>
  <si>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</si>
  <si>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</si>
  <si>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</si>
  <si>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</si>
  <si>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</si>
  <si>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</si>
  <si>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</si>
  <si>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</si>
  <si>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</si>
  <si>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</si>
  <si>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8/31/26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</si>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</sst>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3" xfId="1" applyNumberFormat="1" applyFont="1" applyFill="1" applyBorder="1"/>
    <xf numFmtId="2" fontId="4" fillId="2" borderId="4" xfId="1" applyNumberFormat="1" applyFont="1" applyFill="1" applyBorder="1"/>
    <xf numFmtId="14" fontId="12" fillId="0" borderId="0" xfId="0" applyNumberFormat="1" applyFont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3" fontId="4" fillId="4" borderId="1" xfId="1" applyNumberFormat="1" applyFont="1" applyFill="1" applyBorder="1"/>
    <xf numFmtId="165" fontId="4" fillId="3" borderId="0" xfId="1" applyNumberFormat="1" applyFont="1" applyFill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2" fontId="4" fillId="3" borderId="0" xfId="1" applyNumberFormat="1" applyFont="1" applyFill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C918FA95-A718-4C65-96FD-BFD5EC79F25E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50615%20FredData%20-%20Full%20Auto.xlsb" TargetMode="External"/><Relationship Id="rId2" Type="http://schemas.openxmlformats.org/officeDocument/2006/relationships/externalLinkPath" Target="file:///\\192.168.0.130\Documents\Business\EconSheet\FREDData\250615%20FredData%20-%20Full%20Auto.xlsb" TargetMode="External"/><Relationship Id="rId1" Type="http://schemas.openxmlformats.org/officeDocument/2006/relationships/externalLinkPath" Target="/Business/EconSheet/FREDData/250615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46266.429479166662</v>
          </cell>
          <cell r="F4" t="str">
            <v>Construction Expenditures (% Δ)</v>
          </cell>
        </row>
        <row r="5">
          <cell r="E5">
            <v>46266.429398148146</v>
          </cell>
          <cell r="F5" t="str">
            <v>Private (% Δ)</v>
          </cell>
        </row>
        <row r="6">
          <cell r="E6">
            <v>46266.429351851853</v>
          </cell>
          <cell r="F6" t="str">
            <v>Residential (% Δ)</v>
          </cell>
        </row>
        <row r="7">
          <cell r="E7">
            <v>46266.429398148146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46268.501689814817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46295.376030092593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46295.596793981473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46269.396921296298</v>
          </cell>
          <cell r="F22" t="str">
            <v>Payroll Employment (change in 000's)</v>
          </cell>
        </row>
        <row r="23">
          <cell r="E23">
            <v>46269.396932870368</v>
          </cell>
          <cell r="F23" t="str">
            <v>Unemployment (change 000's)</v>
          </cell>
        </row>
        <row r="24">
          <cell r="E24">
            <v>46269.397002314814</v>
          </cell>
          <cell r="F24" t="str">
            <v>Civilian Unemployment Rate (%)</v>
          </cell>
        </row>
        <row r="25">
          <cell r="E25">
            <v>46269.398402777777</v>
          </cell>
          <cell r="F25" t="str">
            <v>Factory Workweek (hours)</v>
          </cell>
        </row>
        <row r="26">
          <cell r="E26">
            <v>46269.398148148146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46267.421712962969</v>
          </cell>
          <cell r="F31" t="str">
            <v>Total New Orders (% Δ)</v>
          </cell>
        </row>
        <row r="32">
          <cell r="E32">
            <v>46267.421712962969</v>
          </cell>
          <cell r="F32" t="str">
            <v>Durable Goods (% Δ)</v>
          </cell>
        </row>
        <row r="33">
          <cell r="E33">
            <v>46267.356608796297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46267.421817129623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46275.422037037031</v>
          </cell>
          <cell r="F48" t="str">
            <v>Finished Goods (% Δ YoY)</v>
          </cell>
        </row>
        <row r="49">
          <cell r="E49">
            <v>46275.425173611118</v>
          </cell>
          <cell r="F49" t="str">
            <v>Processed Goods for Intermediate Demand (% Δ YoY)</v>
          </cell>
        </row>
        <row r="50">
          <cell r="E50">
            <v>46275.425138888881</v>
          </cell>
          <cell r="F50" t="str">
            <v>Unprocessed Goods for Intermediate Demand (% Δ YoY)</v>
          </cell>
        </row>
        <row r="51">
          <cell r="E51">
            <v>46266.486354166671</v>
          </cell>
          <cell r="F51" t="str">
            <v>Ag Raw Materials (% Δ YoY)</v>
          </cell>
        </row>
        <row r="52">
          <cell r="E52">
            <v>46267.553946759261</v>
          </cell>
          <cell r="F52" t="str">
            <v>Crude Oil WTI Cushing - Spot USD/BBL Last day of Month</v>
          </cell>
        </row>
        <row r="53">
          <cell r="E53">
            <v>46267.553946759261</v>
          </cell>
          <cell r="F53" t="str">
            <v>Crude Oil Brent - Spot USD/BBL Last day of Month</v>
          </cell>
        </row>
        <row r="54">
          <cell r="E54">
            <v>46267.564212962956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46295.444629629637</v>
          </cell>
          <cell r="F58" t="str">
            <v>Wage and Salary Dispersments  (% Δ)</v>
          </cell>
        </row>
        <row r="59">
          <cell r="E59">
            <v>46295.444571759261</v>
          </cell>
          <cell r="F59" t="str">
            <v>Personal Income (% Δ)</v>
          </cell>
        </row>
        <row r="60">
          <cell r="E60">
            <v>46295.44458333333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46295.542673611111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46273.626030092593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46267.421990740739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46287.542673611111</v>
          </cell>
          <cell r="F72" t="str">
            <v>M2 (% Δ Compounded AR)</v>
          </cell>
        </row>
        <row r="73">
          <cell r="E73">
            <v>46268.371793981481</v>
          </cell>
          <cell r="F73" t="str">
            <v>Trade Balance (Monthly Avg mil. USD)</v>
          </cell>
        </row>
        <row r="74">
          <cell r="E74">
            <v>46265.678275462968</v>
          </cell>
          <cell r="F74" t="str">
            <v>3-Month Treasury Bills, Secondary market (%)</v>
          </cell>
        </row>
        <row r="75">
          <cell r="E75">
            <v>46265.679571759261</v>
          </cell>
          <cell r="F75" t="str">
            <v>Bank Prime Rate (%)</v>
          </cell>
        </row>
        <row r="76">
          <cell r="E76">
            <v>46265.678275462968</v>
          </cell>
          <cell r="F76" t="str">
            <v>2-yr. Treasury Bond Yield at Constant Maturity (%)</v>
          </cell>
        </row>
        <row r="77">
          <cell r="E77">
            <v>46265.678298611107</v>
          </cell>
          <cell r="F77" t="str">
            <v>10-yr. Treasury Bond Yield at Constant Maturity (%)</v>
          </cell>
        </row>
        <row r="78">
          <cell r="E78">
            <v>46265.710706018523</v>
          </cell>
          <cell r="F78" t="str">
            <v>10 Yr - 2 Yr Treasury Spread - Const Maturity %</v>
          </cell>
        </row>
        <row r="79">
          <cell r="E79">
            <v>46265.67824074073</v>
          </cell>
          <cell r="F79" t="str">
            <v>10-yr. Treasury Bond Yield at Const. Mat. Inflation Indexed (%)</v>
          </cell>
        </row>
        <row r="80">
          <cell r="E80">
            <v>46265.678287037037</v>
          </cell>
          <cell r="F80" t="str">
            <v>30-yr. Treasury Bond Yield at Constant Maturity (%)</v>
          </cell>
        </row>
        <row r="81">
          <cell r="E81">
            <v>46265.710914351861</v>
          </cell>
          <cell r="F81" t="str">
            <v>10 Yr - 3 Month Treasury Spread - Const Maturity %</v>
          </cell>
        </row>
        <row r="82">
          <cell r="E82">
            <v>46265.678275462968</v>
          </cell>
          <cell r="F82" t="str">
            <v>USD/EUR Exchange Rate - Last Day of Month</v>
          </cell>
        </row>
        <row r="83">
          <cell r="E83">
            <v>46265.718310185184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46295.463796296302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46295.463553240741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46295.464074074072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46295.463807870372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0</v>
          </cell>
          <cell r="D13">
            <v>46266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0</v>
          </cell>
          <cell r="D133">
            <v>46268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0</v>
          </cell>
          <cell r="D134">
            <v>46275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0</v>
          </cell>
          <cell r="D211">
            <v>46273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0</v>
          </cell>
          <cell r="D263">
            <v>46267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0</v>
          </cell>
          <cell r="D284">
            <v>46269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0</v>
          </cell>
          <cell r="D388">
            <v>46265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0</v>
          </cell>
          <cell r="D389">
            <v>46273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0</v>
          </cell>
          <cell r="D706">
            <v>46265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0</v>
          </cell>
          <cell r="D707">
            <v>46266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0</v>
          </cell>
          <cell r="D708">
            <v>46267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0</v>
          </cell>
          <cell r="D709">
            <v>46268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0</v>
          </cell>
          <cell r="D710">
            <v>46269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0</v>
          </cell>
          <cell r="D711">
            <v>46273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0</v>
          </cell>
          <cell r="D712">
            <v>46274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0</v>
          </cell>
          <cell r="D713">
            <v>46275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0</v>
          </cell>
          <cell r="D1091">
            <v>46265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0</v>
          </cell>
          <cell r="D1092">
            <v>46266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0</v>
          </cell>
          <cell r="D1093">
            <v>46267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0</v>
          </cell>
          <cell r="D1094">
            <v>46268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0</v>
          </cell>
          <cell r="D1095">
            <v>46269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0</v>
          </cell>
          <cell r="D1096">
            <v>46273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0</v>
          </cell>
          <cell r="D1097">
            <v>46274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0</v>
          </cell>
          <cell r="D1098">
            <v>46275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0</v>
          </cell>
          <cell r="D1189">
            <v>46268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1</v>
          </cell>
          <cell r="D1213">
            <v>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0</v>
          </cell>
          <cell r="D1300">
            <v>46267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0</v>
          </cell>
          <cell r="D1301">
            <v>46275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0</v>
          </cell>
          <cell r="D1388">
            <v>46267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0</v>
          </cell>
          <cell r="D1389">
            <v>46275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0</v>
          </cell>
          <cell r="D1419">
            <v>46275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0</v>
          </cell>
          <cell r="D1759">
            <v>46265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0</v>
          </cell>
          <cell r="D1760">
            <v>46266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0</v>
          </cell>
          <cell r="D1761">
            <v>46267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0</v>
          </cell>
          <cell r="D1762">
            <v>46268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0</v>
          </cell>
          <cell r="D1763">
            <v>46269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0</v>
          </cell>
          <cell r="D1764">
            <v>46272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0</v>
          </cell>
          <cell r="D1765">
            <v>46273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0</v>
          </cell>
          <cell r="D1766">
            <v>46274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0</v>
          </cell>
          <cell r="D1767">
            <v>46275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1</v>
          </cell>
          <cell r="D2143">
            <v>0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1</v>
          </cell>
          <cell r="D2144">
            <v>0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1</v>
          </cell>
          <cell r="D2145">
            <v>0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1</v>
          </cell>
          <cell r="D2146">
            <v>0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1</v>
          </cell>
          <cell r="D2147">
            <v>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1</v>
          </cell>
          <cell r="D2148">
            <v>0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1</v>
          </cell>
          <cell r="D2149">
            <v>0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0</v>
          </cell>
          <cell r="D2150">
            <v>46265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0</v>
          </cell>
          <cell r="D2151">
            <v>46266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0</v>
          </cell>
          <cell r="D2152">
            <v>46267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0</v>
          </cell>
          <cell r="D2153">
            <v>46268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0</v>
          </cell>
          <cell r="D2154">
            <v>46269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0</v>
          </cell>
          <cell r="D2155">
            <v>46273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0</v>
          </cell>
          <cell r="D2156">
            <v>46274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0</v>
          </cell>
          <cell r="D2157">
            <v>46275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609E-81A1-4AEE-9307-74EEB6C7C366}">
  <sheetPr codeName="Sheet22">
    <pageSetUpPr fitToPage="1"/>
  </sheetPr>
  <dimension ref="A1:AU145"/>
  <sheetViews>
    <sheetView tabSelected="1" workbookViewId="0">
      <pane xSplit="16" ySplit="3" topLeftCell="U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0" customFormat="1" ht="15.75" x14ac:dyDescent="0.25">
      <c r="A1" s="72"/>
      <c r="B1" s="72"/>
      <c r="C1" s="72"/>
      <c r="D1" s="37"/>
      <c r="E1" s="37"/>
      <c r="F1" s="72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0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1">
        <v>45536</v>
      </c>
      <c r="H2" s="71">
        <v>45566</v>
      </c>
      <c r="I2" s="71">
        <v>45597</v>
      </c>
      <c r="J2" s="71">
        <v>45627</v>
      </c>
      <c r="K2" s="71">
        <v>45658</v>
      </c>
      <c r="L2" s="71">
        <v>45689</v>
      </c>
      <c r="M2" s="71">
        <v>45717</v>
      </c>
      <c r="N2" s="71">
        <v>45748</v>
      </c>
      <c r="O2" s="71">
        <v>45778</v>
      </c>
      <c r="P2" s="71">
        <v>45809</v>
      </c>
      <c r="Q2" s="71">
        <v>45839</v>
      </c>
      <c r="R2" s="71">
        <v>45870</v>
      </c>
      <c r="S2" s="71">
        <v>45901</v>
      </c>
      <c r="T2" s="71">
        <v>45931</v>
      </c>
      <c r="U2" s="71">
        <v>45962</v>
      </c>
      <c r="V2" s="71">
        <v>45992</v>
      </c>
      <c r="W2" s="71">
        <v>46023</v>
      </c>
      <c r="X2" s="71">
        <v>46054</v>
      </c>
      <c r="Y2" s="71">
        <v>46082</v>
      </c>
      <c r="Z2" s="71">
        <v>46113</v>
      </c>
      <c r="AA2" s="71">
        <v>46143</v>
      </c>
      <c r="AB2" s="71">
        <v>46174</v>
      </c>
      <c r="AC2" s="71">
        <v>46204</v>
      </c>
      <c r="AD2" s="71">
        <v>46235</v>
      </c>
      <c r="AH2" s="70" t="s">
        <v>185</v>
      </c>
    </row>
    <row r="3" spans="1:34" ht="15.75" x14ac:dyDescent="0.25">
      <c r="A3" s="10"/>
      <c r="B3" s="10" t="s">
        <v>184</v>
      </c>
      <c r="C3" s="10"/>
      <c r="D3" s="69">
        <v>46262.710914351854</v>
      </c>
      <c r="E3" s="68">
        <v>46265.67824074073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46237.429479166669</v>
      </c>
      <c r="E4" s="50">
        <v>46266.429479166662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55">
        <v>-0.1</v>
      </c>
      <c r="AC4" s="7" t="e">
        <v>#N/A</v>
      </c>
      <c r="AD4" s="7" t="e">
        <v>#N/A</v>
      </c>
      <c r="AE4" s="67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46237.429363425923</v>
      </c>
      <c r="E5" s="50">
        <v>46266.429398148146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5">
        <v>-2.1626500000000002</v>
      </c>
      <c r="AA5" s="55">
        <v>-0.17433000000000001</v>
      </c>
      <c r="AB5" s="55">
        <v>-0.12698999999999999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46237.429351851853</v>
      </c>
      <c r="E6" s="20">
        <v>46266.429351851853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62">
        <v>-3.8704800000000001</v>
      </c>
      <c r="AA6" s="62">
        <v>-0.20061999999999999</v>
      </c>
      <c r="AB6" s="62">
        <v>-0.34544999999999998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46237.429398148146</v>
      </c>
      <c r="E7" s="52">
        <v>46266.429398148146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0.43197999999999998</v>
      </c>
      <c r="AB7" s="55">
        <v>-0.14315</v>
      </c>
      <c r="AC7" s="7" t="e">
        <v>#N/A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50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5">
        <v>-10.47198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1">
        <v>46282.356493055559</v>
      </c>
      <c r="F9" s="6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5">
        <v>-12.438162544169613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6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46261.501689814817</v>
      </c>
      <c r="E13" s="52">
        <v>46268.501689814817</v>
      </c>
      <c r="F13" s="25" t="s">
        <v>162</v>
      </c>
      <c r="G13" s="40">
        <v>6.18</v>
      </c>
      <c r="H13" s="40">
        <v>6.43</v>
      </c>
      <c r="I13" s="40">
        <v>6.81</v>
      </c>
      <c r="J13" s="40">
        <v>6.72</v>
      </c>
      <c r="K13" s="40">
        <v>6.96</v>
      </c>
      <c r="L13" s="40">
        <v>6.84</v>
      </c>
      <c r="M13" s="40">
        <v>6.65</v>
      </c>
      <c r="N13" s="40">
        <v>6.73</v>
      </c>
      <c r="O13" s="40">
        <v>6.82</v>
      </c>
      <c r="P13" s="40">
        <v>6.82</v>
      </c>
      <c r="Q13" s="40">
        <v>6.72</v>
      </c>
      <c r="R13" s="40">
        <v>6.59</v>
      </c>
      <c r="S13" s="40">
        <v>6.35</v>
      </c>
      <c r="T13" s="40">
        <v>6.25</v>
      </c>
      <c r="U13" s="40">
        <v>6.24</v>
      </c>
      <c r="V13" s="40">
        <v>6.19</v>
      </c>
      <c r="W13" s="40">
        <v>6.1</v>
      </c>
      <c r="X13" s="40">
        <v>6.05</v>
      </c>
      <c r="Y13" s="40">
        <v>6.18</v>
      </c>
      <c r="Z13" s="40">
        <v>6.33</v>
      </c>
      <c r="AA13" s="40">
        <v>6.44</v>
      </c>
      <c r="AB13" s="40">
        <v>6.49</v>
      </c>
      <c r="AC13" s="40">
        <v>6.54</v>
      </c>
      <c r="AD13" s="40">
        <v>6.67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6"/>
      <c r="W14" s="66"/>
      <c r="X14" s="66"/>
      <c r="Y14" s="66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46260.376030092593</v>
      </c>
      <c r="E16" s="50">
        <v>46295.376030092593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">
        <v>16.260000000000002</v>
      </c>
      <c r="AA16" s="7">
        <v>16.323</v>
      </c>
      <c r="AB16" s="7">
        <v>16.559999999999999</v>
      </c>
      <c r="AC16" s="55">
        <v>16.321000000000002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2">
        <v>1.2969999999999999</v>
      </c>
      <c r="H17" s="42">
        <v>1.36</v>
      </c>
      <c r="I17" s="42">
        <v>1.3160000000000001</v>
      </c>
      <c r="J17" s="42">
        <v>1.3029999999999999</v>
      </c>
      <c r="K17" s="42">
        <v>1.3380000000000001</v>
      </c>
      <c r="L17" s="42">
        <v>1.216</v>
      </c>
      <c r="M17" s="42">
        <v>1.085</v>
      </c>
      <c r="N17" s="42">
        <v>1.2150000000000001</v>
      </c>
      <c r="O17" s="42">
        <v>1.4059999999999999</v>
      </c>
      <c r="P17" s="42">
        <v>1.448</v>
      </c>
      <c r="Q17" s="42">
        <v>1.5289999999999999</v>
      </c>
      <c r="R17" s="42">
        <v>1.454</v>
      </c>
      <c r="S17" s="42">
        <v>1.48</v>
      </c>
      <c r="T17" s="42">
        <v>1.611</v>
      </c>
      <c r="U17" s="42">
        <v>1.5069999999999999</v>
      </c>
      <c r="V17" s="42">
        <v>1.204</v>
      </c>
      <c r="W17" s="42">
        <v>1.325</v>
      </c>
      <c r="X17" s="42">
        <v>1.284</v>
      </c>
      <c r="Y17" s="42">
        <v>1.3959999999999999</v>
      </c>
      <c r="Z17" s="42">
        <v>1.403</v>
      </c>
      <c r="AA17" s="42">
        <v>1.395</v>
      </c>
      <c r="AB17" s="42">
        <v>1.4119999999999999</v>
      </c>
      <c r="AC17" s="41">
        <v>1.361</v>
      </c>
      <c r="AD17" s="42" t="e">
        <v>#N/A</v>
      </c>
      <c r="AE17" s="42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46241.59679398148</v>
      </c>
      <c r="E18" s="20">
        <v>46295.596793981473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4">
        <v>1.81</v>
      </c>
      <c r="AC18" s="29">
        <v>1.829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5">
        <v>100.72499999999999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46241.396921296298</v>
      </c>
      <c r="E22" s="50">
        <v>46269.396921296298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13">
        <v>214</v>
      </c>
      <c r="Z22" s="13">
        <v>148</v>
      </c>
      <c r="AA22" s="13">
        <v>63</v>
      </c>
      <c r="AB22" s="13">
        <v>20</v>
      </c>
      <c r="AC22" s="12">
        <v>-23</v>
      </c>
      <c r="AD22" s="64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46241.396932870368</v>
      </c>
      <c r="E23" s="50">
        <v>46269.396932870368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65">
        <v>-66</v>
      </c>
      <c r="AB23" s="65">
        <v>-213</v>
      </c>
      <c r="AC23" s="65">
        <v>-178</v>
      </c>
      <c r="AD23" s="64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46241.397002314814</v>
      </c>
      <c r="E24" s="51">
        <v>46269.397002314814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46241.398402777777</v>
      </c>
      <c r="E25" s="52">
        <v>46269.398402777777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46241.398148148146</v>
      </c>
      <c r="E26" s="50">
        <v>46269.398148148146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55">
        <v>-0.42333999999999999</v>
      </c>
      <c r="AC26" s="55">
        <v>-0.15587999999999999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50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50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46238.421712962961</v>
      </c>
      <c r="E31" s="51">
        <v>46267.421712962969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62">
        <v>-1.0600799999999999</v>
      </c>
      <c r="AB31" s="62">
        <v>-0.34743000000000002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46238.421712962961</v>
      </c>
      <c r="E32" s="52">
        <v>46267.421712962969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0.47208</v>
      </c>
      <c r="AC32" s="7" t="e">
        <v>#N/A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46260.356608796297</v>
      </c>
      <c r="E33" s="23">
        <v>46267.356608796297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28">
        <v>2.3942899999999998</v>
      </c>
      <c r="AC33" s="28">
        <v>1.3701099999999999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5">
        <v>6.1599999999999997E-3</v>
      </c>
      <c r="X36" s="55">
        <v>0.35142000000000001</v>
      </c>
      <c r="Y36" s="55">
        <v>0.99070000000000003</v>
      </c>
      <c r="Z36" s="55">
        <v>0.56176000000000004</v>
      </c>
      <c r="AA36" s="55">
        <v>0.40539999999999998</v>
      </c>
      <c r="AB36" s="55">
        <v>3.7859999999999998E-2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2">
        <v>1.4</v>
      </c>
      <c r="H37" s="42">
        <v>1.41</v>
      </c>
      <c r="I37" s="42">
        <v>1.4</v>
      </c>
      <c r="J37" s="42">
        <v>1.39</v>
      </c>
      <c r="K37" s="42">
        <v>1.4</v>
      </c>
      <c r="L37" s="42">
        <v>1.39</v>
      </c>
      <c r="M37" s="42">
        <v>1.38</v>
      </c>
      <c r="N37" s="42">
        <v>1.38</v>
      </c>
      <c r="O37" s="42">
        <v>1.39</v>
      </c>
      <c r="P37" s="42">
        <v>1.39</v>
      </c>
      <c r="Q37" s="42">
        <v>1.37</v>
      </c>
      <c r="R37" s="42">
        <v>1.37</v>
      </c>
      <c r="S37" s="42">
        <v>1.37</v>
      </c>
      <c r="T37" s="42">
        <v>1.38</v>
      </c>
      <c r="U37" s="42">
        <v>1.37</v>
      </c>
      <c r="V37" s="42">
        <v>1.36</v>
      </c>
      <c r="W37" s="42">
        <v>1.35</v>
      </c>
      <c r="X37" s="42">
        <v>1.33</v>
      </c>
      <c r="Y37" s="42">
        <v>1.32</v>
      </c>
      <c r="Z37" s="42">
        <v>1.3</v>
      </c>
      <c r="AA37" s="42">
        <v>1.28</v>
      </c>
      <c r="AB37" s="61">
        <v>1.3</v>
      </c>
      <c r="AC37" s="42" t="e">
        <v>#N/A</v>
      </c>
      <c r="AD37" s="42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46238.421817129631</v>
      </c>
      <c r="E39" s="14">
        <v>46267.421817129623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28">
        <v>-0.69806000000000001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5">
        <v>3.2859600000000002</v>
      </c>
      <c r="Z42" s="55">
        <v>3.7792500000000002</v>
      </c>
      <c r="AA42" s="55">
        <v>4.1666100000000004</v>
      </c>
      <c r="AB42" s="55">
        <v>3.46353</v>
      </c>
      <c r="AC42" s="55">
        <v>3.3038599999999998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5">
        <v>2.5808499999999999</v>
      </c>
      <c r="V43" s="55">
        <v>2.9889899999999998</v>
      </c>
      <c r="W43" s="55">
        <v>2.8765000000000001</v>
      </c>
      <c r="X43" s="55">
        <v>3.0527899999999999</v>
      </c>
      <c r="Y43" s="55">
        <v>2.6852800000000001</v>
      </c>
      <c r="Z43" s="55">
        <v>3.1423999999999999</v>
      </c>
      <c r="AA43" s="55">
        <v>3.02291</v>
      </c>
      <c r="AB43" s="55">
        <v>2.9311199999999999</v>
      </c>
      <c r="AC43" s="55">
        <v>2.8907099999999999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62">
        <v>0.39950999999999998</v>
      </c>
      <c r="Y44" s="62">
        <v>12.589549999999999</v>
      </c>
      <c r="Z44" s="62">
        <v>17.536049999999999</v>
      </c>
      <c r="AA44" s="62">
        <v>22.97287</v>
      </c>
      <c r="AB44" s="62">
        <v>15.451370000000001</v>
      </c>
      <c r="AC44" s="62">
        <v>14.44533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46247.422037037039</v>
      </c>
      <c r="E48" s="50">
        <v>46275.422037037031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46275.425173611118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46247.425138888888</v>
      </c>
      <c r="E50" s="51">
        <v>46275.425138888881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ht="15.75" x14ac:dyDescent="0.25">
      <c r="A51" s="56">
        <v>115</v>
      </c>
      <c r="B51" s="56" t="s">
        <v>101</v>
      </c>
      <c r="C51" s="16" t="s">
        <v>100</v>
      </c>
      <c r="D51" s="24">
        <v>46216.486354166664</v>
      </c>
      <c r="E51" s="50">
        <v>46266.486354166671</v>
      </c>
      <c r="F51" s="56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11.3072</v>
      </c>
      <c r="AB51" s="28">
        <v>10.7803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46260.553946759261</v>
      </c>
      <c r="E52" s="14">
        <v>46267.553946759261</v>
      </c>
      <c r="F52" s="25" t="s">
        <v>97</v>
      </c>
      <c r="G52" s="42">
        <v>70.239999999999995</v>
      </c>
      <c r="H52" s="42">
        <v>71.989999999999995</v>
      </c>
      <c r="I52" s="42">
        <v>69.95</v>
      </c>
      <c r="J52" s="42">
        <v>70.12</v>
      </c>
      <c r="K52" s="42">
        <v>75.739999999999995</v>
      </c>
      <c r="L52" s="42">
        <v>71.53</v>
      </c>
      <c r="M52" s="42">
        <v>68.239999999999995</v>
      </c>
      <c r="N52" s="42">
        <v>63.54</v>
      </c>
      <c r="O52" s="42">
        <v>62.17</v>
      </c>
      <c r="P52" s="42">
        <v>68.17</v>
      </c>
      <c r="Q52" s="42">
        <v>68.39</v>
      </c>
      <c r="R52" s="42">
        <v>64.86</v>
      </c>
      <c r="S52" s="42">
        <v>63.96</v>
      </c>
      <c r="T52" s="42">
        <v>60.89</v>
      </c>
      <c r="U52" s="42">
        <v>60.06</v>
      </c>
      <c r="V52" s="42">
        <v>57.97</v>
      </c>
      <c r="W52" s="42">
        <v>60.04</v>
      </c>
      <c r="X52" s="42">
        <v>64.510000000000005</v>
      </c>
      <c r="Y52" s="42">
        <v>91.38</v>
      </c>
      <c r="Z52" s="42">
        <v>100.32</v>
      </c>
      <c r="AA52" s="42">
        <v>102.13</v>
      </c>
      <c r="AB52" s="42">
        <v>84.81</v>
      </c>
      <c r="AC52" s="42">
        <v>80.459999999999994</v>
      </c>
      <c r="AD52" s="61">
        <v>83.65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46260.553946759261</v>
      </c>
      <c r="E53" s="20">
        <v>46267.553946759261</v>
      </c>
      <c r="F53" s="6" t="s">
        <v>95</v>
      </c>
      <c r="G53" s="46">
        <v>74.02</v>
      </c>
      <c r="H53" s="46">
        <v>75.63</v>
      </c>
      <c r="I53" s="46">
        <v>74.349999999999994</v>
      </c>
      <c r="J53" s="46">
        <v>73.86</v>
      </c>
      <c r="K53" s="46">
        <v>79.27</v>
      </c>
      <c r="L53" s="46">
        <v>75.44</v>
      </c>
      <c r="M53" s="46">
        <v>72.73</v>
      </c>
      <c r="N53" s="46">
        <v>68.13</v>
      </c>
      <c r="O53" s="46">
        <v>64.45</v>
      </c>
      <c r="P53" s="46">
        <v>71.44</v>
      </c>
      <c r="Q53" s="46">
        <v>71.040000000000006</v>
      </c>
      <c r="R53" s="46">
        <v>67.87</v>
      </c>
      <c r="S53" s="46">
        <v>67.989999999999995</v>
      </c>
      <c r="T53" s="46">
        <v>64.540000000000006</v>
      </c>
      <c r="U53" s="46">
        <v>63.8</v>
      </c>
      <c r="V53" s="46">
        <v>62.54</v>
      </c>
      <c r="W53" s="46">
        <v>66.599999999999994</v>
      </c>
      <c r="X53" s="46">
        <v>70.89</v>
      </c>
      <c r="Y53" s="46">
        <v>103.13</v>
      </c>
      <c r="Z53" s="46">
        <v>117.29</v>
      </c>
      <c r="AA53" s="46">
        <v>107.14</v>
      </c>
      <c r="AB53" s="46">
        <v>85.4</v>
      </c>
      <c r="AC53" s="46">
        <v>83.76</v>
      </c>
      <c r="AD53" s="60">
        <v>91.4</v>
      </c>
      <c r="AH53" t="s">
        <v>6</v>
      </c>
    </row>
    <row r="54" spans="1:34" ht="15.75" x14ac:dyDescent="0.25">
      <c r="A54" s="59">
        <v>117</v>
      </c>
      <c r="B54" s="59" t="s">
        <v>94</v>
      </c>
      <c r="C54" s="16" t="s">
        <v>93</v>
      </c>
      <c r="D54" s="24">
        <v>46260.564212962963</v>
      </c>
      <c r="E54" s="23">
        <v>46267.564212962956</v>
      </c>
      <c r="F54" s="59" t="s">
        <v>92</v>
      </c>
      <c r="G54" s="42">
        <v>2.2799999999999998</v>
      </c>
      <c r="H54" s="42">
        <v>2.2000000000000002</v>
      </c>
      <c r="I54" s="42">
        <v>2.12</v>
      </c>
      <c r="J54" s="42">
        <v>3.01</v>
      </c>
      <c r="K54" s="42">
        <v>4.13</v>
      </c>
      <c r="L54" s="42">
        <v>4.1900000000000004</v>
      </c>
      <c r="M54" s="42">
        <v>4.12</v>
      </c>
      <c r="N54" s="42">
        <v>3.42</v>
      </c>
      <c r="O54" s="42">
        <v>3.12</v>
      </c>
      <c r="P54" s="42">
        <v>3.02</v>
      </c>
      <c r="Q54" s="42">
        <v>3.2</v>
      </c>
      <c r="R54" s="42">
        <v>2.91</v>
      </c>
      <c r="S54" s="42">
        <v>2.97</v>
      </c>
      <c r="T54" s="42">
        <v>3.19</v>
      </c>
      <c r="U54" s="42">
        <v>3.79</v>
      </c>
      <c r="V54" s="42">
        <v>4.26</v>
      </c>
      <c r="W54" s="42">
        <v>7.72</v>
      </c>
      <c r="X54" s="42">
        <v>3.62</v>
      </c>
      <c r="Y54" s="42">
        <v>3.04</v>
      </c>
      <c r="Z54" s="42">
        <v>2.77</v>
      </c>
      <c r="AA54" s="42">
        <v>2.94</v>
      </c>
      <c r="AB54" s="42">
        <v>3.14</v>
      </c>
      <c r="AC54" s="41">
        <v>2.89</v>
      </c>
      <c r="AD54" s="41">
        <v>2.77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8">
        <v>2024</v>
      </c>
      <c r="H56" s="58" t="s">
        <v>35</v>
      </c>
      <c r="I56" s="58" t="s">
        <v>35</v>
      </c>
      <c r="J56" s="58" t="s">
        <v>35</v>
      </c>
      <c r="K56" s="58">
        <v>2025</v>
      </c>
      <c r="L56" s="58" t="s">
        <v>35</v>
      </c>
      <c r="M56" s="58" t="s">
        <v>35</v>
      </c>
      <c r="N56" s="58" t="s">
        <v>35</v>
      </c>
      <c r="O56" s="58" t="s">
        <v>35</v>
      </c>
      <c r="P56" s="58" t="s">
        <v>35</v>
      </c>
      <c r="Q56" s="58">
        <v>2025</v>
      </c>
      <c r="R56" s="58" t="s">
        <v>35</v>
      </c>
      <c r="S56" s="58" t="s">
        <v>35</v>
      </c>
      <c r="T56" s="58" t="s">
        <v>35</v>
      </c>
      <c r="U56" s="58" t="s">
        <v>35</v>
      </c>
      <c r="V56" s="58" t="s">
        <v>35</v>
      </c>
      <c r="W56" s="58">
        <v>2026</v>
      </c>
      <c r="X56" s="58" t="s">
        <v>35</v>
      </c>
      <c r="Y56" s="58" t="s">
        <v>35</v>
      </c>
      <c r="Z56" s="58" t="s">
        <v>35</v>
      </c>
      <c r="AA56" s="58" t="s">
        <v>35</v>
      </c>
      <c r="AB56" s="58" t="s">
        <v>35</v>
      </c>
      <c r="AC56" s="58" t="s">
        <v>35</v>
      </c>
      <c r="AD56" s="58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7">
        <v>45536</v>
      </c>
      <c r="H57" s="57">
        <v>45566</v>
      </c>
      <c r="I57" s="57">
        <v>45597</v>
      </c>
      <c r="J57" s="57">
        <v>45627</v>
      </c>
      <c r="K57" s="57">
        <v>45658</v>
      </c>
      <c r="L57" s="57">
        <v>45689</v>
      </c>
      <c r="M57" s="57">
        <v>45717</v>
      </c>
      <c r="N57" s="57">
        <v>45748</v>
      </c>
      <c r="O57" s="57">
        <v>45778</v>
      </c>
      <c r="P57" s="57">
        <v>45809</v>
      </c>
      <c r="Q57" s="57">
        <v>45839</v>
      </c>
      <c r="R57" s="57">
        <v>45870</v>
      </c>
      <c r="S57" s="57">
        <v>45901</v>
      </c>
      <c r="T57" s="57">
        <v>45931</v>
      </c>
      <c r="U57" s="57">
        <v>45962</v>
      </c>
      <c r="V57" s="57">
        <v>45992</v>
      </c>
      <c r="W57" s="57">
        <v>46023</v>
      </c>
      <c r="X57" s="57">
        <v>46054</v>
      </c>
      <c r="Y57" s="57">
        <v>46082</v>
      </c>
      <c r="Z57" s="57">
        <v>46113</v>
      </c>
      <c r="AA57" s="57">
        <v>46143</v>
      </c>
      <c r="AB57" s="57">
        <v>46174</v>
      </c>
      <c r="AC57" s="57">
        <v>46204</v>
      </c>
      <c r="AD57" s="57">
        <v>46235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46233.44462962963</v>
      </c>
      <c r="E58" s="23">
        <v>46295.444629629637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0.29347000000000001</v>
      </c>
      <c r="AA58" s="28">
        <v>0.38113999999999998</v>
      </c>
      <c r="AB58" s="28">
        <v>0.18536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46233.444571759261</v>
      </c>
      <c r="E59" s="23">
        <v>46295.444571759261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6.2449999999999999E-2</v>
      </c>
      <c r="AA59" s="28">
        <v>0.68206999999999995</v>
      </c>
      <c r="AB59" s="28">
        <v>0.20379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46233.44458333333</v>
      </c>
      <c r="E60" s="20">
        <v>46295.44458333333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4">
        <v>0.54742000000000002</v>
      </c>
      <c r="Z60" s="4">
        <v>-7.2300000000000003E-3</v>
      </c>
      <c r="AA60" s="29">
        <v>0.70442000000000005</v>
      </c>
      <c r="AB60" s="29">
        <v>0.20402000000000001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46233.542673611111</v>
      </c>
      <c r="E64" s="14">
        <v>46295.542673611111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0.12791</v>
      </c>
      <c r="AA64" s="28">
        <v>0.39219999999999999</v>
      </c>
      <c r="AB64" s="28">
        <v>0.40434999999999999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56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46241.626030092593</v>
      </c>
      <c r="E66" s="20">
        <v>46273.626030092593</v>
      </c>
      <c r="F66" s="6" t="s">
        <v>72</v>
      </c>
      <c r="G66" s="18">
        <v>2577.7300000003002</v>
      </c>
      <c r="H66" s="18">
        <v>13507.7500000001</v>
      </c>
      <c r="I66" s="18">
        <v>-5609.25</v>
      </c>
      <c r="J66" s="18">
        <v>-118184.24</v>
      </c>
      <c r="K66" s="18">
        <v>8372.6500000003998</v>
      </c>
      <c r="L66" s="18">
        <v>1965.2699999995</v>
      </c>
      <c r="M66" s="18">
        <v>64236.400000000198</v>
      </c>
      <c r="N66" s="18">
        <v>16306.51</v>
      </c>
      <c r="O66" s="18">
        <v>10027.2300000004</v>
      </c>
      <c r="P66" s="18">
        <v>-4786.8000000006996</v>
      </c>
      <c r="Q66" s="18">
        <v>12397.370000000101</v>
      </c>
      <c r="R66" s="18">
        <v>2692.1800000006001</v>
      </c>
      <c r="S66" s="18">
        <v>13391.449999999601</v>
      </c>
      <c r="T66" s="18">
        <v>7793.7399999998997</v>
      </c>
      <c r="U66" s="18">
        <v>3318.0200000005002</v>
      </c>
      <c r="V66" s="18">
        <v>15645.7599999997</v>
      </c>
      <c r="W66" s="18">
        <v>4426.67</v>
      </c>
      <c r="X66" s="18">
        <v>7220.5199999995002</v>
      </c>
      <c r="Y66" s="18">
        <v>22833.25</v>
      </c>
      <c r="Z66" s="18">
        <v>19916.860000000401</v>
      </c>
      <c r="AA66" s="18">
        <v>-1081.4000000004</v>
      </c>
      <c r="AB66" s="17">
        <v>14172.6500000004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5">
        <v>-0.46726000000000001</v>
      </c>
      <c r="AC67" s="55">
        <v>-0.56289999999999996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46238.421990740739</v>
      </c>
      <c r="E68" s="23">
        <v>46267.421990740739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0.58613999999999999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5">
        <v>5.6066500000000001</v>
      </c>
      <c r="AA71" s="55">
        <v>14.467420000000001</v>
      </c>
      <c r="AB71" s="55">
        <v>5.1271000000000004</v>
      </c>
      <c r="AC71" s="55">
        <v>5.79908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46231.542673611111</v>
      </c>
      <c r="E72" s="50">
        <v>46287.542673611111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2.9200300000000001</v>
      </c>
      <c r="L72" s="7">
        <v>3.8549199999999999</v>
      </c>
      <c r="M72" s="7">
        <v>4.3554000000000004</v>
      </c>
      <c r="N72" s="7">
        <v>4.9107000000000003</v>
      </c>
      <c r="O72" s="7">
        <v>3.6592699999999998</v>
      </c>
      <c r="P72" s="7">
        <v>6.0122400000000003</v>
      </c>
      <c r="Q72" s="7">
        <v>4.6233300000000002</v>
      </c>
      <c r="R72" s="7">
        <v>3.7120099999999998</v>
      </c>
      <c r="S72" s="7">
        <v>4.6366199999999997</v>
      </c>
      <c r="T72" s="7">
        <v>4.0617900000000002</v>
      </c>
      <c r="U72" s="7">
        <v>1.6300399999999999</v>
      </c>
      <c r="V72" s="55">
        <v>4.1431199999999997</v>
      </c>
      <c r="W72" s="55">
        <v>3.5343599999999999</v>
      </c>
      <c r="X72" s="55">
        <v>11.257619999999999</v>
      </c>
      <c r="Y72" s="55">
        <v>3.0006699999999999</v>
      </c>
      <c r="Z72" s="55">
        <v>6.7517399999999999</v>
      </c>
      <c r="AA72" s="55">
        <v>14.319900000000001</v>
      </c>
      <c r="AB72" s="55">
        <v>5.3089500000000003</v>
      </c>
      <c r="AC72" s="7" t="e">
        <v>#N/A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46238.371793981481</v>
      </c>
      <c r="E73" s="51">
        <v>46268.371793981481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-54185</v>
      </c>
      <c r="X73" s="18">
        <v>-54980</v>
      </c>
      <c r="Y73" s="18">
        <v>-56585</v>
      </c>
      <c r="Z73" s="18">
        <v>-54570</v>
      </c>
      <c r="AA73" s="18">
        <v>-77647</v>
      </c>
      <c r="AB73" s="54">
        <v>-73261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46262.67827546296</v>
      </c>
      <c r="E74" s="50">
        <v>46265.678275462968</v>
      </c>
      <c r="F74" s="1" t="s">
        <v>57</v>
      </c>
      <c r="G74" s="40">
        <v>4.72</v>
      </c>
      <c r="H74" s="40">
        <v>4.51</v>
      </c>
      <c r="I74" s="40">
        <v>4.42</v>
      </c>
      <c r="J74" s="40">
        <v>4.2699999999999996</v>
      </c>
      <c r="K74" s="40">
        <v>4.21</v>
      </c>
      <c r="L74" s="40">
        <v>4.22</v>
      </c>
      <c r="M74" s="40">
        <v>4.2</v>
      </c>
      <c r="N74" s="40">
        <v>4.21</v>
      </c>
      <c r="O74" s="40">
        <v>4.25</v>
      </c>
      <c r="P74" s="40">
        <v>4.2300000000000004</v>
      </c>
      <c r="Q74" s="40">
        <v>4.25</v>
      </c>
      <c r="R74" s="40">
        <v>4.12</v>
      </c>
      <c r="S74" s="40">
        <v>3.92</v>
      </c>
      <c r="T74" s="40">
        <v>3.82</v>
      </c>
      <c r="U74" s="40">
        <v>3.78</v>
      </c>
      <c r="V74" s="40">
        <v>3.59</v>
      </c>
      <c r="W74" s="40">
        <v>3.57</v>
      </c>
      <c r="X74" s="40">
        <v>3.6</v>
      </c>
      <c r="Y74" s="40">
        <v>3.61</v>
      </c>
      <c r="Z74" s="40">
        <v>3.61</v>
      </c>
      <c r="AA74" s="40">
        <v>3.6</v>
      </c>
      <c r="AB74" s="40">
        <v>3.66</v>
      </c>
      <c r="AC74" s="40">
        <v>3.73</v>
      </c>
      <c r="AD74" s="40">
        <v>3.72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46261.679571759261</v>
      </c>
      <c r="E75" s="52">
        <v>46265.679571759261</v>
      </c>
      <c r="F75" s="25" t="s">
        <v>55</v>
      </c>
      <c r="G75" s="40">
        <v>8.3000000000000007</v>
      </c>
      <c r="H75" s="40">
        <v>8</v>
      </c>
      <c r="I75" s="40">
        <v>7.81</v>
      </c>
      <c r="J75" s="40">
        <v>7.65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7.5</v>
      </c>
      <c r="R75" s="40">
        <v>7.5</v>
      </c>
      <c r="S75" s="40">
        <v>7.38</v>
      </c>
      <c r="T75" s="40">
        <v>7.23</v>
      </c>
      <c r="U75" s="40">
        <v>7</v>
      </c>
      <c r="V75" s="40">
        <v>6.84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6.75</v>
      </c>
      <c r="AD75" s="40">
        <v>6.75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46262.67827546296</v>
      </c>
      <c r="E76" s="53">
        <v>46265.678275462968</v>
      </c>
      <c r="F76" s="6" t="s">
        <v>53</v>
      </c>
      <c r="G76" s="44">
        <v>3.62</v>
      </c>
      <c r="H76" s="44">
        <v>3.97</v>
      </c>
      <c r="I76" s="44">
        <v>4.26</v>
      </c>
      <c r="J76" s="44">
        <v>4.2300000000000004</v>
      </c>
      <c r="K76" s="44">
        <v>4.2699999999999996</v>
      </c>
      <c r="L76" s="44">
        <v>4.21</v>
      </c>
      <c r="M76" s="44">
        <v>3.97</v>
      </c>
      <c r="N76" s="44">
        <v>3.78</v>
      </c>
      <c r="O76" s="44">
        <v>3.92</v>
      </c>
      <c r="P76" s="44">
        <v>3.89</v>
      </c>
      <c r="Q76" s="44">
        <v>3.88</v>
      </c>
      <c r="R76" s="44">
        <v>3.7</v>
      </c>
      <c r="S76" s="44">
        <v>3.57</v>
      </c>
      <c r="T76" s="44">
        <v>3.52</v>
      </c>
      <c r="U76" s="44">
        <v>3.55</v>
      </c>
      <c r="V76" s="44">
        <v>3.5</v>
      </c>
      <c r="W76" s="44">
        <v>3.54</v>
      </c>
      <c r="X76" s="44">
        <v>3.47</v>
      </c>
      <c r="Y76" s="44">
        <v>3.71</v>
      </c>
      <c r="Z76" s="44">
        <v>3.8</v>
      </c>
      <c r="AA76" s="44">
        <v>4</v>
      </c>
      <c r="AB76" s="44">
        <v>4.1100000000000003</v>
      </c>
      <c r="AC76" s="44">
        <v>4.22</v>
      </c>
      <c r="AD76" s="44">
        <v>4.2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46262.678298611114</v>
      </c>
      <c r="E77" s="52">
        <v>46265.678298611107</v>
      </c>
      <c r="F77" s="1" t="s">
        <v>51</v>
      </c>
      <c r="G77" s="40">
        <v>3.72</v>
      </c>
      <c r="H77" s="40">
        <v>4.0999999999999996</v>
      </c>
      <c r="I77" s="40">
        <v>4.3600000000000003</v>
      </c>
      <c r="J77" s="40">
        <v>4.3899999999999997</v>
      </c>
      <c r="K77" s="40">
        <v>4.63</v>
      </c>
      <c r="L77" s="40">
        <v>4.45</v>
      </c>
      <c r="M77" s="40">
        <v>4.28</v>
      </c>
      <c r="N77" s="40">
        <v>4.28</v>
      </c>
      <c r="O77" s="40">
        <v>4.42</v>
      </c>
      <c r="P77" s="40">
        <v>4.38</v>
      </c>
      <c r="Q77" s="40">
        <v>4.3899999999999997</v>
      </c>
      <c r="R77" s="40">
        <v>4.26</v>
      </c>
      <c r="S77" s="40">
        <v>4.12</v>
      </c>
      <c r="T77" s="40">
        <v>4.0599999999999996</v>
      </c>
      <c r="U77" s="40">
        <v>4.09</v>
      </c>
      <c r="V77" s="40">
        <v>4.1399999999999997</v>
      </c>
      <c r="W77" s="40">
        <v>4.21</v>
      </c>
      <c r="X77" s="40">
        <v>4.13</v>
      </c>
      <c r="Y77" s="40">
        <v>4.25</v>
      </c>
      <c r="Z77" s="40">
        <v>4.32</v>
      </c>
      <c r="AA77" s="40">
        <v>4.4800000000000004</v>
      </c>
      <c r="AB77" s="40">
        <v>4.47</v>
      </c>
      <c r="AC77" s="40">
        <v>4.5999999999999996</v>
      </c>
      <c r="AD77" s="40">
        <v>4.68</v>
      </c>
      <c r="AH77" t="s">
        <v>44</v>
      </c>
    </row>
    <row r="78" spans="1:34" ht="16.5" thickBot="1" x14ac:dyDescent="0.3">
      <c r="A78" s="43">
        <v>145</v>
      </c>
      <c r="B78" s="43" t="s">
        <v>50</v>
      </c>
      <c r="C78" s="16" t="s">
        <v>42</v>
      </c>
      <c r="D78" s="24">
        <v>46237.710706018515</v>
      </c>
      <c r="E78" s="52">
        <v>46265.710706018523</v>
      </c>
      <c r="F78" s="43" t="s">
        <v>49</v>
      </c>
      <c r="G78" s="42">
        <v>0.1</v>
      </c>
      <c r="H78" s="42">
        <v>0.13</v>
      </c>
      <c r="I78" s="42">
        <v>0.1</v>
      </c>
      <c r="J78" s="42">
        <v>0.16</v>
      </c>
      <c r="K78" s="42">
        <v>0.36</v>
      </c>
      <c r="L78" s="42">
        <v>0.24</v>
      </c>
      <c r="M78" s="42">
        <v>0.31</v>
      </c>
      <c r="N78" s="42">
        <v>0.5</v>
      </c>
      <c r="O78" s="42">
        <v>0.5</v>
      </c>
      <c r="P78" s="42">
        <v>0.49</v>
      </c>
      <c r="Q78" s="42">
        <v>0.51</v>
      </c>
      <c r="R78" s="42">
        <v>0.56000000000000005</v>
      </c>
      <c r="S78" s="42">
        <v>0.55000000000000004</v>
      </c>
      <c r="T78" s="42">
        <v>0.54</v>
      </c>
      <c r="U78" s="42">
        <v>0.54</v>
      </c>
      <c r="V78" s="42">
        <v>0.64</v>
      </c>
      <c r="W78" s="42">
        <v>0.67</v>
      </c>
      <c r="X78" s="42">
        <v>0.66</v>
      </c>
      <c r="Y78" s="42">
        <v>0.54</v>
      </c>
      <c r="Z78" s="42">
        <v>0.52</v>
      </c>
      <c r="AA78" s="42">
        <v>0.48</v>
      </c>
      <c r="AB78" s="42">
        <v>0.36</v>
      </c>
      <c r="AC78" s="41">
        <v>0.38</v>
      </c>
      <c r="AD78" s="42" t="e">
        <v>#N/A</v>
      </c>
      <c r="AE78" s="11"/>
      <c r="AH78" t="s">
        <v>10</v>
      </c>
    </row>
    <row r="79" spans="1:34" ht="17.25" thickTop="1" thickBot="1" x14ac:dyDescent="0.3">
      <c r="A79" s="6">
        <v>75</v>
      </c>
      <c r="B79" s="6" t="s">
        <v>48</v>
      </c>
      <c r="C79" s="22" t="s">
        <v>37</v>
      </c>
      <c r="D79" s="21">
        <v>46262.678240740737</v>
      </c>
      <c r="E79" s="51">
        <v>46265.67824074073</v>
      </c>
      <c r="F79" s="6" t="s">
        <v>47</v>
      </c>
      <c r="G79" s="44">
        <v>1.62</v>
      </c>
      <c r="H79" s="44">
        <v>1.81</v>
      </c>
      <c r="I79" s="44">
        <v>2.0299999999999998</v>
      </c>
      <c r="J79" s="44">
        <v>2.09</v>
      </c>
      <c r="K79" s="44">
        <v>2.23</v>
      </c>
      <c r="L79" s="44">
        <v>2.0299999999999998</v>
      </c>
      <c r="M79" s="44">
        <v>1.95</v>
      </c>
      <c r="N79" s="44">
        <v>2.04</v>
      </c>
      <c r="O79" s="44">
        <v>2.11</v>
      </c>
      <c r="P79" s="44">
        <v>2.09</v>
      </c>
      <c r="Q79" s="44">
        <v>2.0099999999999998</v>
      </c>
      <c r="R79" s="44">
        <v>1.88</v>
      </c>
      <c r="S79" s="44">
        <v>1.75</v>
      </c>
      <c r="T79" s="44">
        <v>1.76</v>
      </c>
      <c r="U79" s="44">
        <v>1.83</v>
      </c>
      <c r="V79" s="44">
        <v>1.9</v>
      </c>
      <c r="W79" s="44">
        <v>1.91</v>
      </c>
      <c r="X79" s="44">
        <v>1.82</v>
      </c>
      <c r="Y79" s="44">
        <v>1.91</v>
      </c>
      <c r="Z79" s="44">
        <v>1.94</v>
      </c>
      <c r="AA79" s="44">
        <v>2.04</v>
      </c>
      <c r="AB79" s="44">
        <v>2.1800000000000002</v>
      </c>
      <c r="AC79" s="44">
        <v>2.35</v>
      </c>
      <c r="AD79" s="49">
        <v>2.39</v>
      </c>
      <c r="AH79" t="s">
        <v>44</v>
      </c>
    </row>
    <row r="80" spans="1:34" ht="17.25" thickTop="1" thickBot="1" x14ac:dyDescent="0.3">
      <c r="A80" s="1">
        <v>77</v>
      </c>
      <c r="B80" s="1" t="s">
        <v>46</v>
      </c>
      <c r="C80" s="16" t="s">
        <v>37</v>
      </c>
      <c r="D80" s="24">
        <v>46262.678287037037</v>
      </c>
      <c r="E80" s="50">
        <v>46265.678287037037</v>
      </c>
      <c r="F80" s="1" t="s">
        <v>45</v>
      </c>
      <c r="G80" s="40">
        <v>4.04</v>
      </c>
      <c r="H80" s="40">
        <v>4.38</v>
      </c>
      <c r="I80" s="40">
        <v>4.54</v>
      </c>
      <c r="J80" s="40">
        <v>4.58</v>
      </c>
      <c r="K80" s="40">
        <v>4.8499999999999996</v>
      </c>
      <c r="L80" s="40">
        <v>4.68</v>
      </c>
      <c r="M80" s="40">
        <v>4.5999999999999996</v>
      </c>
      <c r="N80" s="40">
        <v>4.71</v>
      </c>
      <c r="O80" s="40">
        <v>4.9000000000000004</v>
      </c>
      <c r="P80" s="40">
        <v>4.8899999999999997</v>
      </c>
      <c r="Q80" s="40">
        <v>4.92</v>
      </c>
      <c r="R80" s="40">
        <v>4.87</v>
      </c>
      <c r="S80" s="40">
        <v>4.74</v>
      </c>
      <c r="T80" s="40">
        <v>4.6399999999999997</v>
      </c>
      <c r="U80" s="40">
        <v>4.7</v>
      </c>
      <c r="V80" s="40">
        <v>4.8</v>
      </c>
      <c r="W80" s="40">
        <v>4.84</v>
      </c>
      <c r="X80" s="40">
        <v>4.76</v>
      </c>
      <c r="Y80" s="40">
        <v>4.8499999999999996</v>
      </c>
      <c r="Z80" s="40">
        <v>4.91</v>
      </c>
      <c r="AA80" s="40">
        <v>5.03</v>
      </c>
      <c r="AB80" s="40">
        <v>4.95</v>
      </c>
      <c r="AC80" s="40">
        <v>5.0999999999999996</v>
      </c>
      <c r="AD80" s="49">
        <v>5.22</v>
      </c>
      <c r="AH80" t="s">
        <v>44</v>
      </c>
    </row>
    <row r="81" spans="1:34" ht="17.25" thickTop="1" thickBot="1" x14ac:dyDescent="0.3">
      <c r="A81" s="25">
        <v>147</v>
      </c>
      <c r="B81" s="25" t="s">
        <v>43</v>
      </c>
      <c r="C81" s="16" t="s">
        <v>42</v>
      </c>
      <c r="D81" s="15">
        <v>46262.710914351854</v>
      </c>
      <c r="E81" s="14">
        <v>46265.710914351861</v>
      </c>
      <c r="F81" s="25" t="s">
        <v>41</v>
      </c>
      <c r="G81" s="42">
        <v>-1.2</v>
      </c>
      <c r="H81" s="42">
        <v>-0.62</v>
      </c>
      <c r="I81" s="42">
        <v>-0.26</v>
      </c>
      <c r="J81" s="42">
        <v>0</v>
      </c>
      <c r="K81" s="42">
        <v>0.28999999999999998</v>
      </c>
      <c r="L81" s="42">
        <v>0.12</v>
      </c>
      <c r="M81" s="42">
        <v>-0.06</v>
      </c>
      <c r="N81" s="42">
        <v>-0.04</v>
      </c>
      <c r="O81" s="42">
        <v>0.06</v>
      </c>
      <c r="P81" s="42">
        <v>-0.04</v>
      </c>
      <c r="Q81" s="42">
        <v>-0.02</v>
      </c>
      <c r="R81" s="42">
        <v>-0.04</v>
      </c>
      <c r="S81" s="42">
        <v>0.05</v>
      </c>
      <c r="T81" s="42">
        <v>0.08</v>
      </c>
      <c r="U81" s="42">
        <v>0.16</v>
      </c>
      <c r="V81" s="42">
        <v>0.46</v>
      </c>
      <c r="W81" s="42">
        <v>0.55000000000000004</v>
      </c>
      <c r="X81" s="42">
        <v>0.44</v>
      </c>
      <c r="Y81" s="42">
        <v>0.53</v>
      </c>
      <c r="Z81" s="42">
        <v>0.62</v>
      </c>
      <c r="AA81" s="42">
        <v>0.8</v>
      </c>
      <c r="AB81" s="42">
        <v>0.66</v>
      </c>
      <c r="AC81" s="41">
        <v>0.73</v>
      </c>
      <c r="AD81" s="48">
        <v>0.81</v>
      </c>
      <c r="AH81" t="s">
        <v>10</v>
      </c>
    </row>
    <row r="82" spans="1:34" ht="16.5" thickTop="1" x14ac:dyDescent="0.25">
      <c r="A82" s="6">
        <v>67</v>
      </c>
      <c r="B82" s="6" t="s">
        <v>40</v>
      </c>
      <c r="C82" s="22" t="s">
        <v>37</v>
      </c>
      <c r="D82" s="21">
        <v>46258.67827546296</v>
      </c>
      <c r="E82" s="20">
        <v>46265.678275462968</v>
      </c>
      <c r="F82" s="47" t="s">
        <v>39</v>
      </c>
      <c r="G82" s="46">
        <v>1.1104000000000001</v>
      </c>
      <c r="H82" s="46">
        <v>1.0894999999999999</v>
      </c>
      <c r="I82" s="46">
        <v>1.0621</v>
      </c>
      <c r="J82" s="46">
        <v>1.0471999999999999</v>
      </c>
      <c r="K82" s="46">
        <v>1.0356000000000001</v>
      </c>
      <c r="L82" s="46">
        <v>1.0412999999999999</v>
      </c>
      <c r="M82" s="46">
        <v>1.0812999999999999</v>
      </c>
      <c r="N82" s="46">
        <v>1.1232</v>
      </c>
      <c r="O82" s="46">
        <v>1.1274</v>
      </c>
      <c r="P82" s="46">
        <v>1.1534</v>
      </c>
      <c r="Q82" s="46">
        <v>1.1671</v>
      </c>
      <c r="R82" s="46">
        <v>1.1647000000000001</v>
      </c>
      <c r="S82" s="46">
        <v>1.1738999999999999</v>
      </c>
      <c r="T82" s="46">
        <v>1.1640999999999999</v>
      </c>
      <c r="U82" s="46">
        <v>1.1557999999999999</v>
      </c>
      <c r="V82" s="46">
        <v>1.171</v>
      </c>
      <c r="W82" s="46">
        <v>1.1744000000000001</v>
      </c>
      <c r="X82" s="46">
        <v>1.1823999999999999</v>
      </c>
      <c r="Y82" s="46">
        <v>1.1556999999999999</v>
      </c>
      <c r="Z82" s="46">
        <v>1.1697</v>
      </c>
      <c r="AA82" s="45">
        <v>1.1680999999999999</v>
      </c>
      <c r="AB82" s="45">
        <v>1.1516</v>
      </c>
      <c r="AC82" s="45">
        <v>1.1423000000000001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46251.718310185184</v>
      </c>
      <c r="E83" s="23">
        <v>46265.718310185184</v>
      </c>
      <c r="F83" s="43" t="s">
        <v>36</v>
      </c>
      <c r="G83" s="42">
        <v>121.8849</v>
      </c>
      <c r="H83" s="42">
        <v>123.59529999999999</v>
      </c>
      <c r="I83" s="42">
        <v>126.3113</v>
      </c>
      <c r="J83" s="42">
        <v>127.5758</v>
      </c>
      <c r="K83" s="42">
        <v>128.83699999999999</v>
      </c>
      <c r="L83" s="42">
        <v>127.8758</v>
      </c>
      <c r="M83" s="42">
        <v>126.24299999999999</v>
      </c>
      <c r="N83" s="42">
        <v>124.14019999999999</v>
      </c>
      <c r="O83" s="42">
        <v>122.34220000000001</v>
      </c>
      <c r="P83" s="42">
        <v>120.5939</v>
      </c>
      <c r="Q83" s="42">
        <v>120.1127</v>
      </c>
      <c r="R83" s="42">
        <v>120.5758</v>
      </c>
      <c r="S83" s="42">
        <v>120.0291</v>
      </c>
      <c r="T83" s="42">
        <v>120.76179999999999</v>
      </c>
      <c r="U83" s="42">
        <v>121.4177</v>
      </c>
      <c r="V83" s="42">
        <v>120.1883</v>
      </c>
      <c r="W83" s="42">
        <v>119.2298</v>
      </c>
      <c r="X83" s="42">
        <v>117.90600000000001</v>
      </c>
      <c r="Y83" s="42">
        <v>119.9199</v>
      </c>
      <c r="Z83" s="42">
        <v>119.0363</v>
      </c>
      <c r="AA83" s="42">
        <v>118.7792</v>
      </c>
      <c r="AB83" s="41">
        <v>120.0834</v>
      </c>
      <c r="AC83" s="41">
        <v>120.59699999999999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46233.463796296295</v>
      </c>
      <c r="E88" s="23">
        <v>46295.463796296302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1.9126799999999999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46233.463553240741</v>
      </c>
      <c r="E90" s="14">
        <v>46295.463553240741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2.0413800000000002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46233.464074074072</v>
      </c>
      <c r="E92" s="20">
        <v>46295.464074074072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-89.513999999999996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46233.463807870372</v>
      </c>
      <c r="E95" s="20">
        <v>46295.463807870372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3992.2109999999998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-10000000000</v>
      </c>
      <c r="I131" s="2">
        <v>2.00332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-2.6955499999999999</v>
      </c>
      <c r="H132" s="2">
        <v>-1.32026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1.8177700000000001</v>
      </c>
      <c r="P132" s="2">
        <v>1.82314</v>
      </c>
      <c r="Q132" s="2">
        <v>2.1143399999999999</v>
      </c>
      <c r="R132" s="2">
        <v>-10000000000</v>
      </c>
      <c r="S132" s="2">
        <v>-10000000000</v>
      </c>
      <c r="T132" s="2">
        <v>3.1039699999999999</v>
      </c>
      <c r="U132" s="2">
        <v>-10000000000</v>
      </c>
      <c r="V132" s="2">
        <v>3.4494099999999999</v>
      </c>
      <c r="W132" s="2">
        <v>2.7845900000000001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4.7821400000000001</v>
      </c>
      <c r="K133" s="2">
        <v>8.6400299999999994</v>
      </c>
      <c r="L133" s="2">
        <v>9.3640600000000003</v>
      </c>
      <c r="M133" s="2">
        <v>6.5289299999999999</v>
      </c>
      <c r="N133" s="2">
        <v>0.27726000000000001</v>
      </c>
      <c r="O133" s="2">
        <v>-10000000000</v>
      </c>
      <c r="P133" s="2">
        <v>-10000000000</v>
      </c>
      <c r="Q133" s="2">
        <v>-10000000000</v>
      </c>
      <c r="R133" s="2">
        <v>1.4526600000000001</v>
      </c>
      <c r="S133" s="2">
        <v>3.4353099999999999</v>
      </c>
      <c r="T133" s="2">
        <v>-10000000000</v>
      </c>
      <c r="U133" s="2">
        <v>1.89177</v>
      </c>
      <c r="V133" s="2">
        <v>-10000000000</v>
      </c>
      <c r="W133" s="2">
        <v>-10000000000</v>
      </c>
      <c r="X133" s="2">
        <v>5.3440700000000003</v>
      </c>
      <c r="Y133" s="2">
        <v>9.3355499999999996</v>
      </c>
      <c r="Z133" s="2">
        <v>15.277620000000001</v>
      </c>
      <c r="AA133" s="2">
        <v>20.769490000000001</v>
      </c>
      <c r="AB133" s="2">
        <v>10.616199999999999</v>
      </c>
      <c r="AC133" s="2">
        <v>7.2556099999999999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0.29111999999999999</v>
      </c>
      <c r="O135" s="2">
        <v>10000000000</v>
      </c>
      <c r="P135" s="2">
        <v>1.8916599999999999</v>
      </c>
      <c r="Q135" s="2">
        <v>1.9171</v>
      </c>
      <c r="R135" s="2">
        <v>1.9361200000000001</v>
      </c>
      <c r="S135" s="2">
        <v>3.10771</v>
      </c>
      <c r="T135" s="2">
        <v>10000000000</v>
      </c>
      <c r="U135" s="2">
        <v>2.7689699999999999</v>
      </c>
      <c r="V135" s="2">
        <v>2.15889</v>
      </c>
      <c r="W135" s="2">
        <v>1.11154</v>
      </c>
      <c r="X135" s="2">
        <v>1.6553800000000001</v>
      </c>
      <c r="Y135" s="2">
        <v>10000000000</v>
      </c>
      <c r="Z135" s="2">
        <v>10000000000</v>
      </c>
      <c r="AA135" s="2">
        <v>10000000000</v>
      </c>
      <c r="AB135" s="2">
        <v>6.6032299999999999</v>
      </c>
      <c r="AC135" s="2">
        <v>5.50793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9.7409999999999997E-2</v>
      </c>
      <c r="K136" s="2">
        <v>0.96982999999999997</v>
      </c>
      <c r="L136" s="2">
        <v>0.28866000000000003</v>
      </c>
      <c r="M136" s="2">
        <v>0.69299999999999995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6.9090499999999997</v>
      </c>
      <c r="Z136" s="2">
        <v>9.4696999999999996</v>
      </c>
      <c r="AA136" s="2">
        <v>12.415469999999999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-8.3524399999999996</v>
      </c>
      <c r="H137" s="2">
        <v>-4.3331</v>
      </c>
      <c r="I137" s="2">
        <v>-2.0904600000000002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-1.1279399999999999</v>
      </c>
      <c r="P137" s="2">
        <v>10000000000</v>
      </c>
      <c r="Q137" s="2">
        <v>10000000000</v>
      </c>
      <c r="R137" s="2">
        <v>10000000000</v>
      </c>
      <c r="S137" s="2">
        <v>10000000000</v>
      </c>
      <c r="T137" s="2">
        <v>-0.64237999999999995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EB3389D7-EC6D-4A24-8D1A-F433511BF936}">
      <formula1>FormatOptions</formula1>
    </dataValidation>
  </dataValidations>
  <hyperlinks>
    <hyperlink ref="C4" r:id="rId1" display="https://fred.stlouisfed.org/series/MPCTXXXXS" xr:uid="{12B09C8F-6FCA-45BC-A961-E7C56F5B93D4}"/>
    <hyperlink ref="C5" r:id="rId2" display="https://fred.stlouisfed.org/series/TLPRVCONS" xr:uid="{DAD04039-06A5-46DF-B3E5-3797117F9106}"/>
    <hyperlink ref="C6" r:id="rId3" display="https://fred.stlouisfed.org/series/TLRESCONS" xr:uid="{30D4B733-0763-448A-92A5-D7ABFF4AFF95}"/>
    <hyperlink ref="C7" r:id="rId4" display="https://fred.stlouisfed.org/series/TLHWYCONS" xr:uid="{79FB2AEE-5DF4-46B1-96F1-CEADC746525E}"/>
    <hyperlink ref="C8" r:id="rId5" display="https://fred.stlouisfed.org/series/HSN1F" xr:uid="{9D9A4E15-A81A-4722-A51E-752F2BA8B63D}"/>
    <hyperlink ref="C9" r:id="rId6" display="https://fred.stlouisfed.org/series/HOUST" xr:uid="{F370AE1B-E462-430D-94F7-EBF12280B012}"/>
    <hyperlink ref="C11" r:id="rId7" display="https://fred.stlouisfed.org/series/UNDCONTSA" xr:uid="{1CE3CC9F-B98B-4D8B-AA05-1C9AE552E590}"/>
    <hyperlink ref="C12" r:id="rId8" display="https://fred.stlouisfed.org/series/PERMIT" xr:uid="{C8ED8974-C563-4F6F-ACAA-65BD79FA8CB7}"/>
    <hyperlink ref="C13" r:id="rId9" display="https://fred.stlouisfed.org/series/MORTGAGE30US" xr:uid="{C4DFC990-AC43-4A53-B637-874FEDF85886}"/>
    <hyperlink ref="C16" r:id="rId10" display="https://fred.stlouisfed.org/series/ALTSALES" xr:uid="{AB753228-6EB3-4021-A35B-1FBD5D84617C}"/>
    <hyperlink ref="C17" r:id="rId11" display="https://fred.stlouisfed.org/series/AISRSA" xr:uid="{54FE0EF9-EF2C-403D-BB8A-8DDC0CE9D0E7}"/>
    <hyperlink ref="C18" r:id="rId12" display="https://fred.stlouisfed.org/series/DAUTOSAAR" xr:uid="{A09808ED-66DB-4A42-B3E4-1751A127257E}"/>
    <hyperlink ref="C19" r:id="rId13" display="https://fred.stlouisfed.org/series/DAUPSA" xr:uid="{AE42A1EF-6978-4636-AA8B-F8EE57F3F6E5}"/>
    <hyperlink ref="C23" r:id="rId14" display="https://fred.stlouisfed.org/series/UNEMPLOY" xr:uid="{C5D5D62A-620B-4FE1-9416-B3427CADA768}"/>
    <hyperlink ref="C24" r:id="rId15" display="https://fred.stlouisfed.org/series/UNRATE" xr:uid="{078C95B1-CC3F-446D-BC0F-97BAE689A62A}"/>
    <hyperlink ref="C25" r:id="rId16" display="https://fred.stlouisfed.org/series/AWHNONAG" xr:uid="{B8427F59-1559-4E3B-ABB1-7C8213BA7EEA}"/>
    <hyperlink ref="C26" r:id="rId17" display="https://fred.stlouisfed.org/series/CLF16OV" xr:uid="{98E18AB6-61D8-4D6D-AC7D-DB7C74354D6A}"/>
    <hyperlink ref="C29" r:id="rId18" display="https://fred.stlouisfed.org/series/INDPRO" xr:uid="{0364ED2E-D871-476A-801F-F244D5AAB086}"/>
    <hyperlink ref="C30" r:id="rId19" display="https://fred.stlouisfed.org/series/TCU" xr:uid="{7FEFFF33-1548-4D38-8753-D5F1E2D83FC6}"/>
    <hyperlink ref="C31" r:id="rId20" display="https://fred.stlouisfed.org/series/AMTMNO" xr:uid="{6EB25ED9-65E3-488E-B3C5-33ED7C989409}"/>
    <hyperlink ref="C32" r:id="rId21" display="https://fred.stlouisfed.org/series/DGORDER" xr:uid="{17E4B76D-6411-445D-85C8-1CE27A28EDF1}"/>
    <hyperlink ref="C33" r:id="rId22" display="https://fred.stlouisfed.org/series/ANXAVS" xr:uid="{5BB7E64C-A6D7-41D7-A89A-8D96E27310A9}"/>
    <hyperlink ref="C36" r:id="rId23" display="https://fred.stlouisfed.org/series/BUSINV" xr:uid="{31C98902-F50F-40E1-B885-7F91BAC8920F}"/>
    <hyperlink ref="C37" r:id="rId24" display="https://fred.stlouisfed.org/series/ISRATIO" xr:uid="{9D282DAF-20D2-406A-9582-803163155DB2}"/>
    <hyperlink ref="C38" r:id="rId25" display="https://fred.stlouisfed.org/series/RETAILMPCIMSA" xr:uid="{F0BF1290-2086-4714-8C4A-A62F7472BC7D}"/>
    <hyperlink ref="C39" r:id="rId26" display="https://fred.stlouisfed.org/series/ACNGTI" xr:uid="{CB5B0167-E858-4230-8524-8FD59D423B2D}"/>
    <hyperlink ref="C42" r:id="rId27" display="https://fred.stlouisfed.org/series/CPIAUCSL" xr:uid="{8162A73E-50AF-46AE-A019-45B97BF4F9EE}"/>
    <hyperlink ref="C43" r:id="rId28" display="https://fred.stlouisfed.org/series/CPIFABSL" xr:uid="{E4CB6498-02DA-45EF-B2EA-7B9E3EA8B050}"/>
    <hyperlink ref="C44" r:id="rId29" display="https://fred.stlouisfed.org/series/CPIENGSL" xr:uid="{81E25328-41BF-4FBD-840D-75AFDC208644}"/>
    <hyperlink ref="C45" r:id="rId30" display="https://fred.stlouisfed.org/series/CPILFESL" xr:uid="{7FEACAAC-B803-4093-8CA3-18056DD5D908}"/>
    <hyperlink ref="C48" r:id="rId31" display="https://fred.stlouisfed.org/series/WPUFD49207" xr:uid="{120F70BB-3F98-4E97-B0C7-AFC861B12435}"/>
    <hyperlink ref="C49" r:id="rId32" display="https://fred.stlouisfed.org/series/WPSID61" xr:uid="{8855F8D8-7A58-4532-9C71-D3AF80ABCB0A}"/>
    <hyperlink ref="C50" r:id="rId33" display="https://fred.stlouisfed.org/series/PRAWMINDEXM" xr:uid="{3C330336-EA51-4D26-A829-BC40647D6BD4}"/>
    <hyperlink ref="C52" r:id="rId34" display="https://fred.stlouisfed.org/series/DCOILWTICO" xr:uid="{3A348559-0DEF-48A5-9794-A7409B9A3D57}"/>
    <hyperlink ref="C53" r:id="rId35" display="https://fred.stlouisfed.org/series/DCOILBRENTEU" xr:uid="{6EC55884-9A9C-44F0-8DE1-BE2F44FF3BC9}"/>
    <hyperlink ref="C54" r:id="rId36" display="https://fred.stlouisfed.org/series/DHHNGSP" xr:uid="{AF0A0CA0-9488-4BB8-8C37-B432922A9394}"/>
    <hyperlink ref="C58" r:id="rId37" display="https://fred.stlouisfed.org/series/DHHNGSP" xr:uid="{C73C19B0-5641-4706-90FE-900F0C46081B}"/>
    <hyperlink ref="C59" r:id="rId38" display="https://fred.stlouisfed.org/series/PI" xr:uid="{6290B1E7-067B-4CDC-9905-23C594DDFD1E}"/>
    <hyperlink ref="C60" r:id="rId39" display="https://fred.stlouisfed.org/series/DSPI" xr:uid="{291E3773-31C7-42DA-96E5-A4131820D7B7}"/>
    <hyperlink ref="C61" r:id="rId40" display="https://fred.stlouisfed.org/series/A229RX0" xr:uid="{AB5FB8F4-27A2-4634-B6A3-8D8D26A68F08}"/>
    <hyperlink ref="C62" r:id="rId41" display="https://fred.stlouisfed.org/series/PSAVERT" xr:uid="{0E6984EC-F42A-4251-8E8A-F53581515497}"/>
    <hyperlink ref="C63" r:id="rId42" display="https://fred.stlouisfed.org/series/PCE" xr:uid="{D79B365D-4536-43A0-AC27-2412C0CC7F5D}"/>
    <hyperlink ref="C64" r:id="rId43" display="https://fred.stlouisfed.org/series/PCEC96" xr:uid="{6D746619-029B-45F6-9F3C-26DF4E019D81}"/>
    <hyperlink ref="C65" r:id="rId44" display="https://fred.stlouisfed.org/series/MRTSMPCSM44X72USS" xr:uid="{61AF8F22-D7A9-4A35-9FA4-496D86FFDCBA}"/>
    <hyperlink ref="C66" r:id="rId45" display="https://fred.stlouisfed.org/series/TOTALSL" xr:uid="{580484E6-AF48-45CE-A90E-958D8BC77F59}"/>
    <hyperlink ref="C67" r:id="rId46" display="https://fred.stlouisfed.org/series/PCEND" xr:uid="{AE1B6B3E-CD69-42DC-A09B-F98D7044596D}"/>
    <hyperlink ref="C68" r:id="rId47" display="https://fred.stlouisfed.org/series/A22BVS" xr:uid="{6AC6A908-7399-440C-AC1D-839B270C89D9}"/>
    <hyperlink ref="C71" r:id="rId48" display="https://fred.stlouisfed.org/series/M1SL" xr:uid="{4A1C90BB-00CC-4581-A553-8C61F7825B5F}"/>
    <hyperlink ref="C72" r:id="rId49" display="https://fred.stlouisfed.org/series/M2SL" xr:uid="{0FDC4693-E440-415E-9BA0-684BF7FE4593}"/>
    <hyperlink ref="C74" r:id="rId50" display="https://fred.stlouisfed.org/series/DTB3" xr:uid="{0B47110C-03B0-4396-865F-DAE197D76F5C}"/>
    <hyperlink ref="C75" r:id="rId51" display="https://fred.stlouisfed.org/series/DPRIME" xr:uid="{799C975F-E905-4E0A-945C-2D21579F7F58}"/>
    <hyperlink ref="C76" r:id="rId52" display="https://fred.stlouisfed.org/series/DGS10" xr:uid="{832636B8-5F53-41C7-AE91-391F821F7305}"/>
    <hyperlink ref="C79" r:id="rId53" display="https://fred.stlouisfed.org/series/DFII10" xr:uid="{4ED8FAF1-23C7-4969-830E-401288C79C30}"/>
    <hyperlink ref="C80" r:id="rId54" display="https://fred.stlouisfed.org/series/DGS30" xr:uid="{EDB6B19D-715B-4C0E-8B9F-CA7F8FAC0A6A}"/>
    <hyperlink ref="C82" r:id="rId55" display="https://fred.stlouisfed.org/series/DEXUSEU" xr:uid="{B3C1DE1C-9F77-4914-A5D4-9E7B463B8DAF}"/>
    <hyperlink ref="C83" r:id="rId56" display="https://fred.stlouisfed.org/series/DTWEXBGS" xr:uid="{6EA2D7CD-2E62-4B63-9DFB-CC77C8680508}"/>
    <hyperlink ref="C87" r:id="rId57" display="https://fred.stlouisfed.org/series/GDPC1" xr:uid="{E16007B6-347A-4347-BA1D-E6E6AA162704}"/>
    <hyperlink ref="C88" r:id="rId58" display="https://fred.stlouisfed.org/series/GDP" xr:uid="{2F73F661-1A66-4E71-89CD-9F1F1A897790}"/>
    <hyperlink ref="C89" r:id="rId59" display="https://fred.stlouisfed.org/series/PCEDG" xr:uid="{7A0B86C8-F8FB-4EDF-BA69-C4CECE98D161}"/>
    <hyperlink ref="C90" r:id="rId60" display="https://fred.stlouisfed.org/series/PNFIC1" xr:uid="{402573FB-A8EF-4C73-A6CF-8B1E4687E9C0}"/>
    <hyperlink ref="C91" r:id="rId61" display="https://fred.stlouisfed.org/series/PRFIC1" xr:uid="{054ED7FF-9D32-4061-877E-7B0C23B6FD8C}"/>
    <hyperlink ref="C92" r:id="rId62" display="https://fred.stlouisfed.org/series/CBI" xr:uid="{1B66F632-B736-45F0-A828-6EE09DEEB423}"/>
    <hyperlink ref="C93" r:id="rId63" display="https://fred.stlouisfed.org/series/NETEXC" xr:uid="{5576DEEC-3C1D-4853-8965-AE7B25FB1D60}"/>
    <hyperlink ref="C94" r:id="rId64" display="https://fred.stlouisfed.org/series/IEABC" xr:uid="{E6D11DAD-06B7-48D2-9FDE-0A5B8E09627B}"/>
    <hyperlink ref="C73" r:id="rId65" display="https://fred.stlouisfed.org/series/BOPGSTB" xr:uid="{7C0AA59B-CC56-4A9C-955F-AFB9187494DF}"/>
    <hyperlink ref="C95" r:id="rId66" display="https://fred.stlouisfed.org/series/GCEC1" xr:uid="{F73FC69E-D642-4EF1-9280-3513529A0B0C}"/>
    <hyperlink ref="C96" r:id="rId67" display="https://fred.stlouisfed.org/series/EVACANTUSQ176N" xr:uid="{31142E3C-6C4E-45C6-BD10-89350B9CF856}"/>
    <hyperlink ref="C81" r:id="rId68" display="https://fred.stlouisfed.org/series/DTWEXBGS" xr:uid="{ADD9066E-8906-4F9F-BEDE-79C0A8892ABE}"/>
    <hyperlink ref="C78" r:id="rId69" display="https://fred.stlouisfed.org/series/DTWEXBGS" xr:uid="{4AFB5EB9-350E-40E8-9232-D327DD91677C}"/>
    <hyperlink ref="C77" r:id="rId70" display="https://fred.stlouisfed.org/series/DGS10" xr:uid="{80DB3E01-A4BC-44F6-B6A0-72A5AEFC9A5E}"/>
    <hyperlink ref="C51" r:id="rId71" display="https://fred.stlouisfed.org/series/PRAWMINDEXM" xr:uid="{89D738B5-AD96-4AAB-959C-129F7D227A97}"/>
    <hyperlink ref="C22" r:id="rId72" display="https://fred.stlouisfed.org/series/PAYEMS" xr:uid="{129B1B7F-76CE-4639-9462-B560D2DB14F8}"/>
  </hyperlinks>
  <pageMargins left="0.25" right="0.25" top="0.25" bottom="0.25" header="0.3" footer="0.3"/>
  <pageSetup scale="64" orientation="landscape"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260829 EconSheet</vt:lpstr>
      <vt:lpstr>'260829 EconSheet'!Conditions</vt:lpstr>
      <vt:lpstr>'260829 EconSheet'!DataTable</vt:lpstr>
      <vt:lpstr>'260829 EconSheet'!DataTableStart</vt:lpstr>
      <vt:lpstr>'260829 EconSheet'!DatesAndSeries</vt:lpstr>
      <vt:lpstr>'260829 EconSheet'!DatesCol</vt:lpstr>
      <vt:lpstr>'260829 EconSheet'!ESSeries</vt:lpstr>
      <vt:lpstr>'260829 EconSheet'!FormatTable</vt:lpstr>
      <vt:lpstr>'260829 EconSheet'!Print_Area</vt:lpstr>
      <vt:lpstr>'260829 EconSheet'!SpFormat1</vt:lpstr>
      <vt:lpstr>'260829 EconSheet'!SpFormat2</vt:lpstr>
      <vt:lpstr>'260829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2026-08-29T14:06:19Z</dcterms:created>
  <dcterms:modified xsi:type="dcterms:W3CDTF">2026-08-29T14:06:21Z</dcterms:modified>
</cp:coreProperties>
</file>