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E6D7EA71-5D9D-4067-8231-C19BD689B8C5}" xr6:coauthVersionLast="47" xr6:coauthVersionMax="47" xr10:uidLastSave="{00000000-0000-0000-0000-000000000000}"/>
  <bookViews>
    <workbookView xWindow="-120" yWindow="-120" windowWidth="38640" windowHeight="21120" xr2:uid="{EF9C7675-65C6-43D0-9DC0-5F722B26FC0F}"/>
  </bookViews>
  <sheets>
    <sheet name="260912 EconSheet" sheetId="1" r:id="rId1"/>
  </sheets>
  <externalReferences>
    <externalReference r:id="rId2"/>
  </externalReferences>
  <definedNames>
    <definedName name="_xlnm._FilterDatabase" localSheetId="0" hidden="1">'260912 EconSheet'!$A$28:$AF$33</definedName>
    <definedName name="Conditions" localSheetId="0">'260912 EconSheet'!$AH$3:$AH$96</definedName>
    <definedName name="CurrDates">[1]Currencies!$A$8:$A$14337</definedName>
    <definedName name="DataStart">'[1]Retrieved Data'!$A$1</definedName>
    <definedName name="DataTable" localSheetId="0">'260912 EconSheet'!$G$4:$AD$96</definedName>
    <definedName name="DataTableStart" localSheetId="0">'260912 EconSheet'!$G$4</definedName>
    <definedName name="DatesAndSeries" localSheetId="0">'260912 EconSheet'!$E$4:$F$96</definedName>
    <definedName name="DatesAndSeries">[1]EconSheet!$E$4:$F$96</definedName>
    <definedName name="DatesCol" localSheetId="0">'260912 EconSheet'!$E$4:$E$96</definedName>
    <definedName name="DatesCol">[1]EconSheet!$E$4:$E$96</definedName>
    <definedName name="ESSeries" localSheetId="0">'260912 EconSheet'!$B$4:$B$103</definedName>
    <definedName name="ForceAll" localSheetId="0">'260912 EconSheet'!#REF!</definedName>
    <definedName name="FormatOptions">[1]Calculations!$U$3:$U$14</definedName>
    <definedName name="FormatTable" localSheetId="0">'260912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'260912 EconSheet'!$F$1:$AD$54,'260912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'260912 EconSheet'!$AH$131</definedName>
    <definedName name="SpFormat2" localSheetId="0">'260912 EconSheet'!$AH$136</definedName>
    <definedName name="TrueFalse" localSheetId="0">'260912 EconSheet'!#REF!</definedName>
    <definedName name="TrueFalse">[1]EconSheet!$AU$1:$AU$2</definedName>
    <definedName name="WholeTable" localSheetId="0">'260912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<sst xmlns="http://schemas.openxmlformats.org/spreadsheetml/2006/main" count="418" uniqueCount="191">
  <si>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</si>
  <si>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</si>
  <si>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</si>
  <si>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</si>
  <si>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</si>
  <si>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</si>
  <si>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</si>
  <si>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</si>
  <si>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</si>
  <si>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</si>
  <si>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</si>
  <si>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</si>
  <si>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</si>
  <si>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</si>
  <si>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</si>
  <si>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</si>
  <si>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</si>
  <si>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</si>
  <si>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</si>
  <si>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</si>
  <si>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</si>
  <si>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</si>
  <si>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</si>
  <si>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</si>
  <si>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</si>
  <si>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</si>
  <si>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</si>
  <si>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</si>
  <si>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</si>
  <si>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</si>
  <si>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</si>
  <si>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</si>
  <si>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</si>
  <si>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</si>
  <si>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</si>
  <si>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</si>
  <si>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</si>
  <si>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</si>
  <si>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</si>
  <si>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</si>
  <si>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</si>
  <si>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</si>
  <si>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</si>
  <si>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</si>
  <si>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</si>
  <si>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</si>
  <si>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</si>
  <si>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</si>
  <si>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</si>
  <si>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</si>
  <si>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</si>
  <si>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</si>
  <si>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</si>
  <si>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</si>
  <si>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</si>
  <si>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</si>
  <si>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</si>
  <si>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</si>
  <si>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</si>
  <si>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</si>
  <si>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</si>
  <si>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</si>
  <si>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</si>
  <si>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</si>
  <si>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</si>
  <si>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</si>
  <si>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</si>
  <si>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</si>
  <si>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</si>
  <si>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</si>
  <si>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</si>
  <si>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</si>
  <si>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</si>
  <si>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</si>
  <si>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</si>
  <si>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</si>
  <si>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</si>
  <si>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</si>
  <si>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</si>
  <si>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</si>
  <si>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</si>
  <si>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</si>
  <si>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</si>
  <si>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</si>
  <si>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</si>
  <si>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</si>
  <si>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</si>
  <si>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</si>
  <si>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</si>
  <si>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</si>
  <si>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</si>
  <si>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</si>
  <si>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</si>
  <si>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</si>
  <si>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</si>
  <si>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</si>
  <si>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</si>
  <si>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</si>
  <si>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</si>
  <si>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</si>
  <si>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</si>
  <si>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</si>
  <si>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</si>
  <si>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</si>
  <si>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</si>
  <si>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</si>
  <si>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</si>
  <si>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</si>
  <si>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</si>
  <si>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</si>
  <si>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</si>
  <si>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</si>
  <si>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</si>
  <si>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</si>
  <si>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</si>
  <si>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</si>
  <si>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</si>
  <si>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</si>
  <si>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</si>
  <si>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</si>
  <si>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</si>
  <si>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</si>
  <si>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</si>
  <si>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</si>
  <si>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</si>
  <si>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</si>
  <si>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</si>
  <si>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</si>
  <si>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</si>
  <si>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</si>
  <si>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</si>
  <si>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</si>
  <si>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</si>
  <si>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</si>
  <si>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</si>
  <si>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</si>
  <si>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</si>
  <si>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</si>
  <si>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</si>
  <si>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</si>
  <si>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</si>
  <si>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</si>
  <si>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</si>
  <si>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</si>
  <si>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</si>
  <si>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</si>
  <si>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</si>
  <si>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</si>
  <si>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</si>
  <si>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</si>
  <si>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</si>
  <si>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</si>
  <si>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</si>
  <si>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</si>
  <si>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</si>
  <si>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</si>
  <si>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</si>
  <si>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</si>
  <si>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</si>
  <si>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</si>
  <si>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</si>
  <si>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</si>
  <si>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</si>
  <si>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</si>
  <si>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</si>
  <si>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</si>
  <si>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</si>
  <si>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</si>
  <si>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</si>
  <si>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</si>
  <si>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</si>
  <si>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</si>
  <si>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</si>
  <si>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</si>
  <si>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</si>
  <si>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</si>
  <si>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</si>
  <si>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</si>
  <si>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</si>
  <si>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</si>
  <si>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</si>
  <si>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</si>
  <si>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</si>
  <si>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</si>
  <si>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</si>
  <si>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</si>
  <si>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9/14/26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</si>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</sst>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3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3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2" fontId="4" fillId="2" borderId="0" xfId="1" applyNumberFormat="1" applyFont="1" applyFill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BB42B98B-BBCE-4FDD-86FF-01FE6D543856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5852DD26-9257-4696-B704-011C56529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9455D5EC-D21A-4402-BCA1-24168C88A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46282.50181712964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46290.421944444446</v>
          </cell>
          <cell r="F31" t="str">
            <v>Total New Orders (% Δ)</v>
          </cell>
        </row>
        <row r="32">
          <cell r="E32">
            <v>46290.42186342593</v>
          </cell>
          <cell r="F32" t="str">
            <v>Durable Goods (% Δ)</v>
          </cell>
        </row>
        <row r="33">
          <cell r="E33">
            <v>46290.421840277777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46290.421932870377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46309.423831018517</v>
          </cell>
          <cell r="F42" t="str">
            <v>Consumer Price Index (% Δ YoY)</v>
          </cell>
        </row>
        <row r="43">
          <cell r="E43">
            <v>46309.423831018517</v>
          </cell>
          <cell r="F43" t="str">
            <v>Food (% Δ YoY)</v>
          </cell>
        </row>
        <row r="44">
          <cell r="E44">
            <v>46309.423703703709</v>
          </cell>
          <cell r="F44" t="str">
            <v>Energy (% Δ YoY)</v>
          </cell>
        </row>
        <row r="45">
          <cell r="E45">
            <v>46309.423831018517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46310.422037037031</v>
          </cell>
          <cell r="F48" t="str">
            <v>Finished Goods (% Δ YoY)</v>
          </cell>
        </row>
        <row r="49">
          <cell r="E49">
            <v>46310.425173611118</v>
          </cell>
          <cell r="F49" t="str">
            <v>Processed Goods for Intermediate Demand (% Δ YoY)</v>
          </cell>
        </row>
        <row r="50">
          <cell r="E50">
            <v>46310.425138888881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46281.553831018522</v>
          </cell>
          <cell r="F52" t="str">
            <v>Crude Oil WTI Cushing - Spot USD/BBL Last day of Month</v>
          </cell>
        </row>
        <row r="53">
          <cell r="E53">
            <v>46281.553842592592</v>
          </cell>
          <cell r="F53" t="str">
            <v>Crude Oil Brent - Spot USD/BBL Last day of Month</v>
          </cell>
        </row>
        <row r="54">
          <cell r="E54">
            <v>46281.564178240747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46290.4221412037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46287.54287037038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46279.678356481483</v>
          </cell>
          <cell r="F74" t="str">
            <v>3-Month Treasury Bills, Secondary market (%)</v>
          </cell>
        </row>
        <row r="75">
          <cell r="E75">
            <v>46279.678148148145</v>
          </cell>
          <cell r="F75" t="str">
            <v>Bank Prime Rate (%)</v>
          </cell>
        </row>
        <row r="76">
          <cell r="E76">
            <v>46279.678391203706</v>
          </cell>
          <cell r="F76" t="str">
            <v>2-yr. Treasury Bond Yield at Constant Maturity (%)</v>
          </cell>
        </row>
        <row r="77">
          <cell r="E77">
            <v>46279.678298611107</v>
          </cell>
          <cell r="F77" t="str">
            <v>10-yr. Treasury Bond Yield at Constant Maturity (%)</v>
          </cell>
        </row>
        <row r="78">
          <cell r="E78">
            <v>46279.710868055554</v>
          </cell>
          <cell r="F78" t="str">
            <v>10 Yr - 2 Yr Treasury Spread - Const Maturity %</v>
          </cell>
        </row>
        <row r="79">
          <cell r="E79">
            <v>46279.678148148145</v>
          </cell>
          <cell r="F79" t="str">
            <v>10-yr. Treasury Bond Yield at Const. Mat. Inflation Indexed (%)</v>
          </cell>
        </row>
        <row r="80">
          <cell r="E80">
            <v>46279.67841435186</v>
          </cell>
          <cell r="F80" t="str">
            <v>30-yr. Treasury Bond Yield at Constant Maturity (%)</v>
          </cell>
        </row>
        <row r="81">
          <cell r="E81">
            <v>46279.711562500001</v>
          </cell>
          <cell r="F81" t="str">
            <v>10 Yr - 3 Month Treasury Spread - Const Maturity %</v>
          </cell>
        </row>
        <row r="82">
          <cell r="E82">
            <v>46279.678402777776</v>
          </cell>
          <cell r="F82" t="str">
            <v>USD/EUR Exchange Rate - Last Day of Month</v>
          </cell>
        </row>
        <row r="83">
          <cell r="E83">
            <v>46279.678379629622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0</v>
          </cell>
          <cell r="D11">
            <v>46296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0</v>
          </cell>
          <cell r="D31">
            <v>46282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0</v>
          </cell>
          <cell r="D32">
            <v>46289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0</v>
          </cell>
          <cell r="D48">
            <v>46289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0</v>
          </cell>
          <cell r="D109">
            <v>46282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0</v>
          </cell>
          <cell r="D110">
            <v>46289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0</v>
          </cell>
          <cell r="D111">
            <v>46296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0</v>
          </cell>
          <cell r="D147">
            <v>46295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0</v>
          </cell>
          <cell r="D192">
            <v>46295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0</v>
          </cell>
          <cell r="D220">
            <v>46290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0</v>
          </cell>
          <cell r="D253">
            <v>46281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0</v>
          </cell>
          <cell r="D269">
            <v>46287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0</v>
          </cell>
          <cell r="D325">
            <v>46279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0</v>
          </cell>
          <cell r="D326">
            <v>46286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0</v>
          </cell>
          <cell r="D327">
            <v>46293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0</v>
          </cell>
          <cell r="D590">
            <v>46279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0</v>
          </cell>
          <cell r="D591">
            <v>46280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0</v>
          </cell>
          <cell r="D592">
            <v>46281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0</v>
          </cell>
          <cell r="D593">
            <v>46282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0</v>
          </cell>
          <cell r="D594">
            <v>46283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0</v>
          </cell>
          <cell r="D595">
            <v>46286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0</v>
          </cell>
          <cell r="D596">
            <v>46287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0</v>
          </cell>
          <cell r="D597">
            <v>46288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0</v>
          </cell>
          <cell r="D598">
            <v>46289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0</v>
          </cell>
          <cell r="D599">
            <v>46290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0</v>
          </cell>
          <cell r="D600">
            <v>46293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0</v>
          </cell>
          <cell r="D601">
            <v>46294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0</v>
          </cell>
          <cell r="D602">
            <v>46295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0</v>
          </cell>
          <cell r="D603">
            <v>46296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0</v>
          </cell>
          <cell r="D604">
            <v>46297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0</v>
          </cell>
          <cell r="D915">
            <v>46279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0</v>
          </cell>
          <cell r="D916">
            <v>46280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0</v>
          </cell>
          <cell r="D917">
            <v>46281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0</v>
          </cell>
          <cell r="D918">
            <v>46282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0</v>
          </cell>
          <cell r="D919">
            <v>46283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0</v>
          </cell>
          <cell r="D920">
            <v>46286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0</v>
          </cell>
          <cell r="D921">
            <v>46287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0</v>
          </cell>
          <cell r="D922">
            <v>46288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0</v>
          </cell>
          <cell r="D923">
            <v>46289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0</v>
          </cell>
          <cell r="D924">
            <v>46290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0</v>
          </cell>
          <cell r="D925">
            <v>46293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0</v>
          </cell>
          <cell r="D926">
            <v>46294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0</v>
          </cell>
          <cell r="D927">
            <v>46295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0</v>
          </cell>
          <cell r="D928">
            <v>46296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0</v>
          </cell>
          <cell r="D929">
            <v>46297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0</v>
          </cell>
          <cell r="D1009">
            <v>46289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0</v>
          </cell>
          <cell r="D1022">
            <v>46295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0</v>
          </cell>
          <cell r="D1038">
            <v>46283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0</v>
          </cell>
          <cell r="D1094">
            <v>46281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0</v>
          </cell>
          <cell r="D1095">
            <v>46288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0</v>
          </cell>
          <cell r="D1096">
            <v>46295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0</v>
          </cell>
          <cell r="D1169">
            <v>46281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0</v>
          </cell>
          <cell r="D1170">
            <v>46288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0</v>
          </cell>
          <cell r="D1171">
            <v>46295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0</v>
          </cell>
          <cell r="D1211">
            <v>46281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0</v>
          </cell>
          <cell r="D1478">
            <v>46279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0</v>
          </cell>
          <cell r="D1479">
            <v>46280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0</v>
          </cell>
          <cell r="D1480">
            <v>46281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0</v>
          </cell>
          <cell r="D1481">
            <v>46282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0</v>
          </cell>
          <cell r="D1482">
            <v>46283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0</v>
          </cell>
          <cell r="D1483">
            <v>46286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0</v>
          </cell>
          <cell r="D1484">
            <v>46287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0</v>
          </cell>
          <cell r="D1485">
            <v>46288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0</v>
          </cell>
          <cell r="D1486">
            <v>46289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0</v>
          </cell>
          <cell r="D1487">
            <v>46290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0</v>
          </cell>
          <cell r="D1488">
            <v>46293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0</v>
          </cell>
          <cell r="D1489">
            <v>46294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0</v>
          </cell>
          <cell r="D1490">
            <v>46295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0</v>
          </cell>
          <cell r="D1491">
            <v>46296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0</v>
          </cell>
          <cell r="D1492">
            <v>46297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0</v>
          </cell>
          <cell r="D1808">
            <v>46279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0</v>
          </cell>
          <cell r="D1809">
            <v>46280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0</v>
          </cell>
          <cell r="D1810">
            <v>46281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0</v>
          </cell>
          <cell r="D1811">
            <v>46282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0</v>
          </cell>
          <cell r="D1812">
            <v>46283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0</v>
          </cell>
          <cell r="D1813">
            <v>46286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0</v>
          </cell>
          <cell r="D1814">
            <v>46287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0</v>
          </cell>
          <cell r="D1815">
            <v>46288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0</v>
          </cell>
          <cell r="D1816">
            <v>46289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0</v>
          </cell>
          <cell r="D1817">
            <v>46290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0</v>
          </cell>
          <cell r="D1818">
            <v>46293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0</v>
          </cell>
          <cell r="D1819">
            <v>46294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0</v>
          </cell>
          <cell r="D1820">
            <v>46295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0</v>
          </cell>
          <cell r="D1821">
            <v>46296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0</v>
          </cell>
          <cell r="D1822">
            <v>46297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333B-C835-4EFB-8170-705DAAF4D755}">
  <sheetPr codeName="Sheet22">
    <pageSetUpPr fitToPage="1"/>
  </sheetPr>
  <dimension ref="A1:AH144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.75" outlineLevelCol="1" x14ac:dyDescent="0.25"/>
  <cols>
    <col min="1" max="1" width="8.28515625" style="1" hidden="1" customWidth="1" outlineLevel="1"/>
    <col min="2" max="2" width="28.140625" style="1" hidden="1" customWidth="1" outlineLevel="1"/>
    <col min="3" max="3" width="77.140625" style="1" hidden="1" customWidth="1" outlineLevel="1"/>
    <col min="4" max="4" width="17.42578125" style="2" hidden="1" customWidth="1" outlineLevel="1"/>
    <col min="5" max="5" width="21" style="2" bestFit="1" customWidth="1" collapsed="1"/>
    <col min="6" max="6" width="61.42578125" style="1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67" customFormat="1" x14ac:dyDescent="0.25">
      <c r="A1" s="69"/>
      <c r="B1" s="69"/>
      <c r="C1" s="69"/>
      <c r="D1" s="37"/>
      <c r="E1" s="37"/>
      <c r="F1" s="69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67" customFormat="1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68">
        <v>45536</v>
      </c>
      <c r="H2" s="68">
        <v>45566</v>
      </c>
      <c r="I2" s="68">
        <v>45597</v>
      </c>
      <c r="J2" s="68">
        <v>45627</v>
      </c>
      <c r="K2" s="68">
        <v>45658</v>
      </c>
      <c r="L2" s="68">
        <v>45689</v>
      </c>
      <c r="M2" s="68">
        <v>45717</v>
      </c>
      <c r="N2" s="68">
        <v>45748</v>
      </c>
      <c r="O2" s="68">
        <v>45778</v>
      </c>
      <c r="P2" s="68">
        <v>45809</v>
      </c>
      <c r="Q2" s="68">
        <v>45839</v>
      </c>
      <c r="R2" s="68">
        <v>45870</v>
      </c>
      <c r="S2" s="68">
        <v>45901</v>
      </c>
      <c r="T2" s="68">
        <v>45931</v>
      </c>
      <c r="U2" s="68">
        <v>45962</v>
      </c>
      <c r="V2" s="68">
        <v>45992</v>
      </c>
      <c r="W2" s="68">
        <v>46023</v>
      </c>
      <c r="X2" s="68">
        <v>46054</v>
      </c>
      <c r="Y2" s="68">
        <v>46082</v>
      </c>
      <c r="Z2" s="68">
        <v>46113</v>
      </c>
      <c r="AA2" s="68">
        <v>46143</v>
      </c>
      <c r="AB2" s="68">
        <v>46174</v>
      </c>
      <c r="AC2" s="68">
        <v>46204</v>
      </c>
      <c r="AD2" s="68">
        <v>46235</v>
      </c>
      <c r="AH2" s="67" t="s">
        <v>185</v>
      </c>
    </row>
    <row r="3" spans="1:34" x14ac:dyDescent="0.25">
      <c r="A3" s="10"/>
      <c r="B3" s="10" t="s">
        <v>184</v>
      </c>
      <c r="C3" s="10"/>
      <c r="D3" s="66">
        <v>46273.711562500001</v>
      </c>
      <c r="E3" s="65">
        <v>46279.678148148145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48">
        <v>46296.42969907407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7">
        <v>0</v>
      </c>
      <c r="AC4" s="53">
        <v>-0.5</v>
      </c>
      <c r="AD4" s="7" t="e">
        <v>#N/A</v>
      </c>
      <c r="AE4" s="64" t="s">
        <v>35</v>
      </c>
      <c r="AH4" t="s">
        <v>21</v>
      </c>
    </row>
    <row r="5" spans="1:34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48">
        <v>46296.429490740731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3">
        <v>-2.1626500000000002</v>
      </c>
      <c r="AA5" s="53">
        <v>-0.19738</v>
      </c>
      <c r="AB5" s="53">
        <v>-7.3700000000000002E-2</v>
      </c>
      <c r="AC5" s="53">
        <v>-0.54086999999999996</v>
      </c>
      <c r="AD5" s="7" t="e">
        <v>#N/A</v>
      </c>
      <c r="AH5" t="s">
        <v>21</v>
      </c>
    </row>
    <row r="6" spans="1:34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58">
        <v>-3.8704800000000001</v>
      </c>
      <c r="AA6" s="58">
        <v>-0.77886999999999995</v>
      </c>
      <c r="AB6" s="58">
        <v>-0.50221000000000005</v>
      </c>
      <c r="AC6" s="58">
        <v>-1.3157799999999999</v>
      </c>
      <c r="AD6" s="4" t="e">
        <v>#N/A</v>
      </c>
      <c r="AH6" t="s">
        <v>21</v>
      </c>
    </row>
    <row r="7" spans="1:34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1">
        <v>46296.429490740731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0.16488</v>
      </c>
      <c r="AB7" s="53">
        <v>-5.6619999999999997E-2</v>
      </c>
      <c r="AC7" s="53">
        <v>-0.18709999999999999</v>
      </c>
      <c r="AD7" s="7" t="e">
        <v>#N/A</v>
      </c>
      <c r="AH7" t="s">
        <v>21</v>
      </c>
    </row>
    <row r="8" spans="1:34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48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3">
        <v>-10.47198</v>
      </c>
      <c r="AD8" s="7" t="e">
        <v>#N/A</v>
      </c>
      <c r="AH8" t="s">
        <v>21</v>
      </c>
    </row>
    <row r="9" spans="1:34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0">
        <v>46282.356493055559</v>
      </c>
      <c r="F9" s="45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3">
        <v>-12.438162544169613</v>
      </c>
      <c r="AD10" s="7" t="e">
        <v>#N/A</v>
      </c>
      <c r="AH10" t="s">
        <v>21</v>
      </c>
    </row>
    <row r="11" spans="1:34" x14ac:dyDescent="0.2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x14ac:dyDescent="0.25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45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x14ac:dyDescent="0.25">
      <c r="A13" s="25">
        <v>13</v>
      </c>
      <c r="B13" s="25" t="s">
        <v>164</v>
      </c>
      <c r="C13" s="16" t="s">
        <v>163</v>
      </c>
      <c r="D13" s="15">
        <v>46268.501817129632</v>
      </c>
      <c r="E13" s="51">
        <v>46282.50181712964</v>
      </c>
      <c r="F13" s="42" t="s">
        <v>162</v>
      </c>
      <c r="G13" s="41" t="e">
        <v>#N/A</v>
      </c>
      <c r="H13" s="47">
        <v>6.43</v>
      </c>
      <c r="I13" s="47">
        <v>6.81</v>
      </c>
      <c r="J13" s="47">
        <v>6.72</v>
      </c>
      <c r="K13" s="47">
        <v>6.96</v>
      </c>
      <c r="L13" s="47">
        <v>6.84</v>
      </c>
      <c r="M13" s="47">
        <v>6.65</v>
      </c>
      <c r="N13" s="47">
        <v>6.73</v>
      </c>
      <c r="O13" s="47">
        <v>6.82</v>
      </c>
      <c r="P13" s="47">
        <v>6.82</v>
      </c>
      <c r="Q13" s="47">
        <v>6.72</v>
      </c>
      <c r="R13" s="47">
        <v>6.59</v>
      </c>
      <c r="S13" s="47">
        <v>6.35</v>
      </c>
      <c r="T13" s="47">
        <v>6.25</v>
      </c>
      <c r="U13" s="47">
        <v>6.24</v>
      </c>
      <c r="V13" s="47">
        <v>6.19</v>
      </c>
      <c r="W13" s="47">
        <v>6.1</v>
      </c>
      <c r="X13" s="47">
        <v>6.05</v>
      </c>
      <c r="Y13" s="47">
        <v>6.18</v>
      </c>
      <c r="Z13" s="47">
        <v>6.33</v>
      </c>
      <c r="AA13" s="47">
        <v>6.44</v>
      </c>
      <c r="AB13" s="47">
        <v>6.49</v>
      </c>
      <c r="AC13" s="47">
        <v>6.54</v>
      </c>
      <c r="AD13" s="47">
        <v>6.67</v>
      </c>
      <c r="AH13" t="s">
        <v>44</v>
      </c>
    </row>
    <row r="14" spans="1:34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3"/>
      <c r="W14" s="63"/>
      <c r="X14" s="63"/>
      <c r="Y14" s="63"/>
      <c r="Z14" s="36"/>
      <c r="AA14" s="36"/>
      <c r="AB14" s="36"/>
      <c r="AC14" s="36"/>
      <c r="AD14" s="36"/>
      <c r="AH14" t="s">
        <v>34</v>
      </c>
    </row>
    <row r="15" spans="1:34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x14ac:dyDescent="0.25">
      <c r="A16" s="1">
        <v>19</v>
      </c>
      <c r="B16" s="1" t="s">
        <v>160</v>
      </c>
      <c r="C16" s="16" t="s">
        <v>12</v>
      </c>
      <c r="D16" s="24">
        <v>46269.596238425926</v>
      </c>
      <c r="E16" s="48">
        <v>46295.596238425933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">
        <v>16.253</v>
      </c>
      <c r="AA16" s="7">
        <v>16.318000000000001</v>
      </c>
      <c r="AB16" s="7">
        <v>16.738</v>
      </c>
      <c r="AC16" s="7">
        <v>16.32</v>
      </c>
      <c r="AD16" s="28">
        <v>16.763999999999999</v>
      </c>
      <c r="AH16" t="s">
        <v>10</v>
      </c>
    </row>
    <row r="17" spans="1:34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1">
        <v>1.2969999999999999</v>
      </c>
      <c r="H17" s="41">
        <v>1.36</v>
      </c>
      <c r="I17" s="41">
        <v>1.3160000000000001</v>
      </c>
      <c r="J17" s="41">
        <v>1.3029999999999999</v>
      </c>
      <c r="K17" s="41">
        <v>1.3380000000000001</v>
      </c>
      <c r="L17" s="41">
        <v>1.216</v>
      </c>
      <c r="M17" s="41">
        <v>1.085</v>
      </c>
      <c r="N17" s="41">
        <v>1.2150000000000001</v>
      </c>
      <c r="O17" s="41">
        <v>1.4059999999999999</v>
      </c>
      <c r="P17" s="41">
        <v>1.448</v>
      </c>
      <c r="Q17" s="41">
        <v>1.5289999999999999</v>
      </c>
      <c r="R17" s="41">
        <v>1.454</v>
      </c>
      <c r="S17" s="41">
        <v>1.48</v>
      </c>
      <c r="T17" s="41">
        <v>1.611</v>
      </c>
      <c r="U17" s="41">
        <v>1.5069999999999999</v>
      </c>
      <c r="V17" s="41">
        <v>1.204</v>
      </c>
      <c r="W17" s="41">
        <v>1.325</v>
      </c>
      <c r="X17" s="41">
        <v>1.284</v>
      </c>
      <c r="Y17" s="41">
        <v>1.3959999999999999</v>
      </c>
      <c r="Z17" s="41">
        <v>1.403</v>
      </c>
      <c r="AA17" s="41">
        <v>1.395</v>
      </c>
      <c r="AB17" s="41">
        <v>1.4119999999999999</v>
      </c>
      <c r="AC17" s="46">
        <v>1.361</v>
      </c>
      <c r="AD17" s="41" t="e">
        <v>#N/A</v>
      </c>
      <c r="AE17" s="41"/>
      <c r="AH17" t="s">
        <v>6</v>
      </c>
    </row>
    <row r="18" spans="1:34" x14ac:dyDescent="0.25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4">
        <v>1.865</v>
      </c>
      <c r="AC18" s="58">
        <v>1.829</v>
      </c>
      <c r="AD18" s="58">
        <v>1.821</v>
      </c>
      <c r="AH18" t="s">
        <v>10</v>
      </c>
    </row>
    <row r="19" spans="1:34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3">
        <v>100.72499999999999</v>
      </c>
      <c r="AD19" s="7" t="e">
        <v>#N/A</v>
      </c>
      <c r="AH19" t="s">
        <v>10</v>
      </c>
    </row>
    <row r="20" spans="1:34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48">
        <v>46297.394143518526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62">
        <v>214</v>
      </c>
      <c r="Z22" s="62">
        <v>148</v>
      </c>
      <c r="AA22" s="62">
        <v>63</v>
      </c>
      <c r="AB22" s="62">
        <v>31</v>
      </c>
      <c r="AC22" s="62">
        <v>21</v>
      </c>
      <c r="AD22" s="61">
        <v>162</v>
      </c>
      <c r="AH22" t="s">
        <v>21</v>
      </c>
    </row>
    <row r="23" spans="1:34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48">
        <v>46297.394108796288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13">
        <v>-66</v>
      </c>
      <c r="AB23" s="13">
        <v>-213</v>
      </c>
      <c r="AC23" s="13">
        <v>-178</v>
      </c>
      <c r="AD23" s="60">
        <v>115</v>
      </c>
      <c r="AH23" t="s">
        <v>18</v>
      </c>
    </row>
    <row r="24" spans="1:34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0">
        <v>46297.394108796288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29">
        <v>4.0999999999999996</v>
      </c>
      <c r="AH24" t="s">
        <v>6</v>
      </c>
    </row>
    <row r="25" spans="1:34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1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48">
        <v>46297.395185185189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7">
        <v>-0.42333999999999999</v>
      </c>
      <c r="AC26" s="7">
        <v>-0.15587999999999999</v>
      </c>
      <c r="AD26" s="28">
        <v>0.40392</v>
      </c>
      <c r="AH26" t="s">
        <v>21</v>
      </c>
    </row>
    <row r="27" spans="1:34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48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48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0">
        <v>46290.421944444446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4">
        <v>-1.0600799999999999</v>
      </c>
      <c r="AB31" s="4">
        <v>-0.15876000000000001</v>
      </c>
      <c r="AC31" s="29">
        <v>0.88568999999999998</v>
      </c>
      <c r="AD31" s="4" t="e">
        <v>#N/A</v>
      </c>
      <c r="AH31" t="s">
        <v>21</v>
      </c>
    </row>
    <row r="32" spans="1:34" x14ac:dyDescent="0.25">
      <c r="A32" s="25">
        <v>105</v>
      </c>
      <c r="B32" s="25" t="s">
        <v>132</v>
      </c>
      <c r="C32" s="16" t="s">
        <v>8</v>
      </c>
      <c r="D32" s="15">
        <v>46267.421863425923</v>
      </c>
      <c r="E32" s="51">
        <v>46290.42186342593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0.58021</v>
      </c>
      <c r="AC32" s="28">
        <v>1.0760099999999999</v>
      </c>
      <c r="AD32" s="7" t="e">
        <v>#N/A</v>
      </c>
      <c r="AH32" t="s">
        <v>21</v>
      </c>
    </row>
    <row r="33" spans="1:34" x14ac:dyDescent="0.25">
      <c r="A33" s="1">
        <v>103</v>
      </c>
      <c r="B33" s="1" t="s">
        <v>130</v>
      </c>
      <c r="C33" s="16" t="s">
        <v>8</v>
      </c>
      <c r="D33" s="24">
        <v>46267.421840277777</v>
      </c>
      <c r="E33" s="23">
        <v>46290.421840277777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28">
        <v>2.3562099999999999</v>
      </c>
      <c r="AC33" s="28">
        <v>1.2314000000000001</v>
      </c>
      <c r="AD33" s="7" t="e">
        <v>#N/A</v>
      </c>
      <c r="AH33" t="s">
        <v>21</v>
      </c>
    </row>
    <row r="34" spans="1:34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3">
        <v>6.1599999999999997E-3</v>
      </c>
      <c r="X36" s="53">
        <v>0.35142000000000001</v>
      </c>
      <c r="Y36" s="53">
        <v>0.99070000000000003</v>
      </c>
      <c r="Z36" s="53">
        <v>0.56176000000000004</v>
      </c>
      <c r="AA36" s="53">
        <v>0.40539999999999998</v>
      </c>
      <c r="AB36" s="53">
        <v>3.7859999999999998E-2</v>
      </c>
      <c r="AC36" s="7" t="e">
        <v>#N/A</v>
      </c>
      <c r="AD36" s="7" t="e">
        <v>#N/A</v>
      </c>
      <c r="AH36" t="s">
        <v>18</v>
      </c>
    </row>
    <row r="37" spans="1:34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1">
        <v>1.4</v>
      </c>
      <c r="H37" s="41">
        <v>1.41</v>
      </c>
      <c r="I37" s="41">
        <v>1.4</v>
      </c>
      <c r="J37" s="41">
        <v>1.39</v>
      </c>
      <c r="K37" s="41">
        <v>1.4</v>
      </c>
      <c r="L37" s="41">
        <v>1.39</v>
      </c>
      <c r="M37" s="41">
        <v>1.38</v>
      </c>
      <c r="N37" s="41">
        <v>1.38</v>
      </c>
      <c r="O37" s="41">
        <v>1.39</v>
      </c>
      <c r="P37" s="41">
        <v>1.39</v>
      </c>
      <c r="Q37" s="41">
        <v>1.37</v>
      </c>
      <c r="R37" s="41">
        <v>1.37</v>
      </c>
      <c r="S37" s="41">
        <v>1.37</v>
      </c>
      <c r="T37" s="41">
        <v>1.38</v>
      </c>
      <c r="U37" s="41">
        <v>1.37</v>
      </c>
      <c r="V37" s="41">
        <v>1.36</v>
      </c>
      <c r="W37" s="41">
        <v>1.35</v>
      </c>
      <c r="X37" s="41">
        <v>1.33</v>
      </c>
      <c r="Y37" s="41">
        <v>1.32</v>
      </c>
      <c r="Z37" s="41">
        <v>1.3</v>
      </c>
      <c r="AA37" s="41">
        <v>1.28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46290.421932870377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7">
        <v>-0.56379999999999997</v>
      </c>
      <c r="AC39" s="53">
        <v>0.44978000000000001</v>
      </c>
      <c r="AD39" s="7" t="e">
        <v>#N/A</v>
      </c>
      <c r="AH39" t="s">
        <v>18</v>
      </c>
    </row>
    <row r="40" spans="1:34" x14ac:dyDescent="0.25">
      <c r="A40" s="25"/>
      <c r="B40" s="25"/>
      <c r="C40" s="25"/>
      <c r="D40" s="37"/>
      <c r="E40" s="14"/>
      <c r="F40" s="25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H40" t="s">
        <v>34</v>
      </c>
    </row>
    <row r="41" spans="1:34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x14ac:dyDescent="0.2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46309.423831018517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3">
        <v>3.2859600000000002</v>
      </c>
      <c r="Z42" s="53">
        <v>3.7792500000000002</v>
      </c>
      <c r="AA42" s="53">
        <v>4.1666100000000004</v>
      </c>
      <c r="AB42" s="53">
        <v>3.46353</v>
      </c>
      <c r="AC42" s="53">
        <v>3.3038599999999998</v>
      </c>
      <c r="AD42" s="7" t="e">
        <v>#N/A</v>
      </c>
      <c r="AH42" t="s">
        <v>110</v>
      </c>
    </row>
    <row r="43" spans="1:34" x14ac:dyDescent="0.2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46309.423831018517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3">
        <v>2.5808499999999999</v>
      </c>
      <c r="V43" s="53">
        <v>2.9889899999999998</v>
      </c>
      <c r="W43" s="53">
        <v>2.8765000000000001</v>
      </c>
      <c r="X43" s="53">
        <v>3.0527899999999999</v>
      </c>
      <c r="Y43" s="53">
        <v>2.6852800000000001</v>
      </c>
      <c r="Z43" s="53">
        <v>3.1423999999999999</v>
      </c>
      <c r="AA43" s="53">
        <v>3.02291</v>
      </c>
      <c r="AB43" s="53">
        <v>2.9311199999999999</v>
      </c>
      <c r="AC43" s="53">
        <v>2.8907099999999999</v>
      </c>
      <c r="AD43" s="7" t="e">
        <v>#N/A</v>
      </c>
      <c r="AH43" t="s">
        <v>110</v>
      </c>
    </row>
    <row r="44" spans="1:34" x14ac:dyDescent="0.2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46309.423703703709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58">
        <v>0.39950999999999998</v>
      </c>
      <c r="Y44" s="58">
        <v>12.589549999999999</v>
      </c>
      <c r="Z44" s="58">
        <v>17.536049999999999</v>
      </c>
      <c r="AA44" s="58">
        <v>22.97287</v>
      </c>
      <c r="AB44" s="58">
        <v>15.451370000000001</v>
      </c>
      <c r="AC44" s="58">
        <v>14.44533</v>
      </c>
      <c r="AD44" s="4" t="e">
        <v>#N/A</v>
      </c>
      <c r="AH44" t="s">
        <v>18</v>
      </c>
    </row>
    <row r="45" spans="1:34" x14ac:dyDescent="0.2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46309.423831018517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x14ac:dyDescent="0.25">
      <c r="A48" s="1">
        <v>123</v>
      </c>
      <c r="B48" s="1" t="s">
        <v>108</v>
      </c>
      <c r="C48" s="16" t="s">
        <v>103</v>
      </c>
      <c r="D48" s="24">
        <v>46247.422037037039</v>
      </c>
      <c r="E48" s="48">
        <v>46310.422037037031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x14ac:dyDescent="0.2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46310.425173611118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x14ac:dyDescent="0.25">
      <c r="A50" s="6">
        <v>121</v>
      </c>
      <c r="B50" s="6" t="s">
        <v>104</v>
      </c>
      <c r="C50" s="22" t="s">
        <v>103</v>
      </c>
      <c r="D50" s="21">
        <v>46247.425138888888</v>
      </c>
      <c r="E50" s="50">
        <v>46310.425138888881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x14ac:dyDescent="0.25">
      <c r="A51" s="54">
        <v>115</v>
      </c>
      <c r="B51" s="54" t="s">
        <v>101</v>
      </c>
      <c r="C51" s="16" t="s">
        <v>100</v>
      </c>
      <c r="D51" s="24">
        <v>46251.618888888886</v>
      </c>
      <c r="E51" s="48">
        <v>46296.618888888886</v>
      </c>
      <c r="F51" s="54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12.34164</v>
      </c>
      <c r="AB51" s="28">
        <v>11.80897</v>
      </c>
      <c r="AC51" s="28">
        <v>10.31789</v>
      </c>
      <c r="AD51" s="7" t="e">
        <v>#N/A</v>
      </c>
      <c r="AH51" t="s">
        <v>6</v>
      </c>
    </row>
    <row r="52" spans="1:34" x14ac:dyDescent="0.25">
      <c r="A52" s="25">
        <v>113</v>
      </c>
      <c r="B52" s="25" t="s">
        <v>98</v>
      </c>
      <c r="C52" s="16" t="s">
        <v>93</v>
      </c>
      <c r="D52" s="15">
        <v>46267.553831018522</v>
      </c>
      <c r="E52" s="14">
        <v>46281.553831018522</v>
      </c>
      <c r="F52" s="25" t="s">
        <v>97</v>
      </c>
      <c r="G52" s="41" t="e">
        <v>#N/A</v>
      </c>
      <c r="H52" s="41">
        <v>71.989999999999995</v>
      </c>
      <c r="I52" s="41">
        <v>69.95</v>
      </c>
      <c r="J52" s="41">
        <v>70.12</v>
      </c>
      <c r="K52" s="41">
        <v>75.739999999999995</v>
      </c>
      <c r="L52" s="41">
        <v>71.53</v>
      </c>
      <c r="M52" s="41">
        <v>68.239999999999995</v>
      </c>
      <c r="N52" s="41">
        <v>63.54</v>
      </c>
      <c r="O52" s="41">
        <v>62.17</v>
      </c>
      <c r="P52" s="41">
        <v>68.17</v>
      </c>
      <c r="Q52" s="41">
        <v>68.39</v>
      </c>
      <c r="R52" s="41">
        <v>64.86</v>
      </c>
      <c r="S52" s="41">
        <v>63.96</v>
      </c>
      <c r="T52" s="41">
        <v>60.89</v>
      </c>
      <c r="U52" s="41">
        <v>60.06</v>
      </c>
      <c r="V52" s="41">
        <v>57.97</v>
      </c>
      <c r="W52" s="41">
        <v>60.04</v>
      </c>
      <c r="X52" s="41">
        <v>64.510000000000005</v>
      </c>
      <c r="Y52" s="41">
        <v>91.38</v>
      </c>
      <c r="Z52" s="41">
        <v>100.32</v>
      </c>
      <c r="AA52" s="41">
        <v>102.13</v>
      </c>
      <c r="AB52" s="41">
        <v>84.81</v>
      </c>
      <c r="AC52" s="41">
        <v>80.459999999999994</v>
      </c>
      <c r="AD52" s="40">
        <v>83.9</v>
      </c>
      <c r="AH52" t="s">
        <v>6</v>
      </c>
    </row>
    <row r="53" spans="1:34" x14ac:dyDescent="0.25">
      <c r="A53" s="6">
        <v>125</v>
      </c>
      <c r="B53" s="6" t="s">
        <v>96</v>
      </c>
      <c r="C53" s="22" t="s">
        <v>93</v>
      </c>
      <c r="D53" s="21">
        <v>46267.553842592592</v>
      </c>
      <c r="E53" s="20">
        <v>46281.553842592592</v>
      </c>
      <c r="F53" s="6" t="s">
        <v>95</v>
      </c>
      <c r="G53" s="44" t="e">
        <v>#N/A</v>
      </c>
      <c r="H53" s="44">
        <v>75.63</v>
      </c>
      <c r="I53" s="44">
        <v>74.349999999999994</v>
      </c>
      <c r="J53" s="44">
        <v>73.86</v>
      </c>
      <c r="K53" s="44">
        <v>79.27</v>
      </c>
      <c r="L53" s="44">
        <v>75.44</v>
      </c>
      <c r="M53" s="44">
        <v>72.73</v>
      </c>
      <c r="N53" s="44">
        <v>68.13</v>
      </c>
      <c r="O53" s="44">
        <v>64.45</v>
      </c>
      <c r="P53" s="44">
        <v>71.44</v>
      </c>
      <c r="Q53" s="44">
        <v>71.040000000000006</v>
      </c>
      <c r="R53" s="44">
        <v>67.87</v>
      </c>
      <c r="S53" s="44">
        <v>67.989999999999995</v>
      </c>
      <c r="T53" s="44">
        <v>64.540000000000006</v>
      </c>
      <c r="U53" s="44">
        <v>63.8</v>
      </c>
      <c r="V53" s="44">
        <v>62.54</v>
      </c>
      <c r="W53" s="44">
        <v>66.599999999999994</v>
      </c>
      <c r="X53" s="44">
        <v>70.89</v>
      </c>
      <c r="Y53" s="44">
        <v>103.13</v>
      </c>
      <c r="Z53" s="44">
        <v>117.29</v>
      </c>
      <c r="AA53" s="44">
        <v>107.14</v>
      </c>
      <c r="AB53" s="44">
        <v>85.4</v>
      </c>
      <c r="AC53" s="44">
        <v>83.76</v>
      </c>
      <c r="AD53" s="43">
        <v>91.08</v>
      </c>
      <c r="AH53" t="s">
        <v>6</v>
      </c>
    </row>
    <row r="54" spans="1:34" x14ac:dyDescent="0.25">
      <c r="A54" s="57">
        <v>117</v>
      </c>
      <c r="B54" s="57" t="s">
        <v>94</v>
      </c>
      <c r="C54" s="16" t="s">
        <v>93</v>
      </c>
      <c r="D54" s="24">
        <v>46267.56417824074</v>
      </c>
      <c r="E54" s="23">
        <v>46281.564178240747</v>
      </c>
      <c r="F54" s="57" t="s">
        <v>92</v>
      </c>
      <c r="G54" s="41" t="e">
        <v>#N/A</v>
      </c>
      <c r="H54" s="41">
        <v>2.2000000000000002</v>
      </c>
      <c r="I54" s="41">
        <v>2.12</v>
      </c>
      <c r="J54" s="41">
        <v>3.01</v>
      </c>
      <c r="K54" s="41">
        <v>4.13</v>
      </c>
      <c r="L54" s="41">
        <v>4.1900000000000004</v>
      </c>
      <c r="M54" s="41">
        <v>4.12</v>
      </c>
      <c r="N54" s="41">
        <v>3.42</v>
      </c>
      <c r="O54" s="41">
        <v>3.12</v>
      </c>
      <c r="P54" s="41">
        <v>3.02</v>
      </c>
      <c r="Q54" s="41">
        <v>3.2</v>
      </c>
      <c r="R54" s="41">
        <v>2.91</v>
      </c>
      <c r="S54" s="41">
        <v>2.97</v>
      </c>
      <c r="T54" s="41">
        <v>3.19</v>
      </c>
      <c r="U54" s="41">
        <v>3.79</v>
      </c>
      <c r="V54" s="41">
        <v>4.26</v>
      </c>
      <c r="W54" s="41">
        <v>7.72</v>
      </c>
      <c r="X54" s="41">
        <v>3.62</v>
      </c>
      <c r="Y54" s="41">
        <v>3.04</v>
      </c>
      <c r="Z54" s="41">
        <v>2.77</v>
      </c>
      <c r="AA54" s="41">
        <v>2.94</v>
      </c>
      <c r="AB54" s="41">
        <v>3.14</v>
      </c>
      <c r="AC54" s="46">
        <v>2.89</v>
      </c>
      <c r="AD54" s="46">
        <v>2.79</v>
      </c>
      <c r="AH54" t="s">
        <v>6</v>
      </c>
    </row>
    <row r="55" spans="1:34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 t="s">
        <v>35</v>
      </c>
      <c r="K56" s="56">
        <v>2025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 t="s">
        <v>35</v>
      </c>
      <c r="W56" s="56">
        <v>2026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x14ac:dyDescent="0.25">
      <c r="A57" s="10"/>
      <c r="B57" s="10"/>
      <c r="C57" s="10"/>
      <c r="D57" s="33"/>
      <c r="E57" s="32"/>
      <c r="F57" s="10" t="s">
        <v>90</v>
      </c>
      <c r="G57" s="55">
        <v>45536</v>
      </c>
      <c r="H57" s="55">
        <v>45566</v>
      </c>
      <c r="I57" s="55">
        <v>45597</v>
      </c>
      <c r="J57" s="55">
        <v>45627</v>
      </c>
      <c r="K57" s="55">
        <v>45658</v>
      </c>
      <c r="L57" s="55">
        <v>45689</v>
      </c>
      <c r="M57" s="55">
        <v>45717</v>
      </c>
      <c r="N57" s="55">
        <v>45748</v>
      </c>
      <c r="O57" s="55">
        <v>45778</v>
      </c>
      <c r="P57" s="55">
        <v>45809</v>
      </c>
      <c r="Q57" s="55">
        <v>45839</v>
      </c>
      <c r="R57" s="55">
        <v>45870</v>
      </c>
      <c r="S57" s="55">
        <v>45901</v>
      </c>
      <c r="T57" s="55">
        <v>45931</v>
      </c>
      <c r="U57" s="55">
        <v>45962</v>
      </c>
      <c r="V57" s="55">
        <v>45992</v>
      </c>
      <c r="W57" s="55">
        <v>46023</v>
      </c>
      <c r="X57" s="55">
        <v>46054</v>
      </c>
      <c r="Y57" s="55">
        <v>46082</v>
      </c>
      <c r="Z57" s="55">
        <v>46113</v>
      </c>
      <c r="AA57" s="55">
        <v>46143</v>
      </c>
      <c r="AB57" s="55">
        <v>46174</v>
      </c>
      <c r="AC57" s="55">
        <v>46204</v>
      </c>
      <c r="AD57" s="55">
        <v>46235</v>
      </c>
      <c r="AH57" t="s">
        <v>32</v>
      </c>
    </row>
    <row r="58" spans="1:34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0.28519</v>
      </c>
      <c r="AA58" s="28">
        <v>0.35341</v>
      </c>
      <c r="AB58" s="28">
        <v>0.14580000000000001</v>
      </c>
      <c r="AC58" s="28">
        <v>0.29192000000000001</v>
      </c>
      <c r="AD58" s="7" t="e">
        <v>#N/A</v>
      </c>
      <c r="AH58" t="s">
        <v>21</v>
      </c>
    </row>
    <row r="59" spans="1:34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9.7610000000000002E-2</v>
      </c>
      <c r="AA59" s="28">
        <v>0.69230000000000003</v>
      </c>
      <c r="AB59" s="28">
        <v>0.17957999999999999</v>
      </c>
      <c r="AC59" s="28">
        <v>0.42630000000000001</v>
      </c>
      <c r="AD59" s="7" t="e">
        <v>#N/A</v>
      </c>
      <c r="AH59" t="s">
        <v>21</v>
      </c>
    </row>
    <row r="60" spans="1:34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29">
        <v>0.54742000000000002</v>
      </c>
      <c r="Z60" s="29">
        <v>8.0800000000000004E-3</v>
      </c>
      <c r="AA60" s="29">
        <v>0.72218000000000004</v>
      </c>
      <c r="AB60" s="29">
        <v>0.21154999999999999</v>
      </c>
      <c r="AC60" s="29">
        <v>0.53049999999999997</v>
      </c>
      <c r="AD60" s="4" t="e">
        <v>#N/A</v>
      </c>
      <c r="AH60" t="s">
        <v>21</v>
      </c>
    </row>
    <row r="61" spans="1:34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0.19964000000000001</v>
      </c>
      <c r="AA64" s="28">
        <v>0.36985000000000001</v>
      </c>
      <c r="AB64" s="28">
        <v>0.44278000000000001</v>
      </c>
      <c r="AC64" s="28">
        <v>7.6899999999999998E-3</v>
      </c>
      <c r="AD64" s="7" t="e">
        <v>#N/A</v>
      </c>
      <c r="AH64" t="s">
        <v>21</v>
      </c>
    </row>
    <row r="65" spans="1:34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54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2577.7300000003002</v>
      </c>
      <c r="H66" s="18">
        <v>13243.309999999699</v>
      </c>
      <c r="I66" s="18">
        <v>-5898.6600000000999</v>
      </c>
      <c r="J66" s="18">
        <v>-118460.19999999899</v>
      </c>
      <c r="K66" s="18">
        <v>8389.8399999998001</v>
      </c>
      <c r="L66" s="18">
        <v>1988.0499999998999</v>
      </c>
      <c r="M66" s="18">
        <v>64256.780000000203</v>
      </c>
      <c r="N66" s="18">
        <v>16349.9100000002</v>
      </c>
      <c r="O66" s="18">
        <v>10067.6099999994</v>
      </c>
      <c r="P66" s="18">
        <v>-4747.9299999997002</v>
      </c>
      <c r="Q66" s="17">
        <v>12380.459999999901</v>
      </c>
      <c r="R66" s="17">
        <v>2675.4900000002999</v>
      </c>
      <c r="S66" s="17">
        <v>13373.5199999995</v>
      </c>
      <c r="T66" s="17">
        <v>7801.3799999999001</v>
      </c>
      <c r="U66" s="17">
        <v>3314.8000000007</v>
      </c>
      <c r="V66" s="17">
        <v>15741.4099999993</v>
      </c>
      <c r="W66" s="17">
        <v>4390.7099999999</v>
      </c>
      <c r="X66" s="17">
        <v>7177.4300000006997</v>
      </c>
      <c r="Y66" s="17">
        <v>21039.769999999498</v>
      </c>
      <c r="Z66" s="17">
        <v>20179.690000000399</v>
      </c>
      <c r="AA66" s="17">
        <v>1978.1499999995001</v>
      </c>
      <c r="AB66" s="17">
        <v>14555.0700000003</v>
      </c>
      <c r="AC66" s="17">
        <v>18062.360000000299</v>
      </c>
      <c r="AD66" s="18" t="e">
        <v>#N/A</v>
      </c>
      <c r="AH66" t="s">
        <v>18</v>
      </c>
    </row>
    <row r="67" spans="1:34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3">
        <v>-0.46726000000000001</v>
      </c>
      <c r="AC67" s="53">
        <v>-0.56289999999999996</v>
      </c>
      <c r="AD67" s="7" t="e">
        <v>#N/A</v>
      </c>
      <c r="AH67" t="s">
        <v>21</v>
      </c>
    </row>
    <row r="68" spans="1:34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46290.4221412037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0.79000999999999999</v>
      </c>
      <c r="AC68" s="28">
        <v>0.46776000000000001</v>
      </c>
      <c r="AD68" s="7" t="e">
        <v>#N/A</v>
      </c>
      <c r="AH68" t="s">
        <v>21</v>
      </c>
    </row>
    <row r="69" spans="1:34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3">
        <v>5.6066500000000001</v>
      </c>
      <c r="AA71" s="53">
        <v>14.467420000000001</v>
      </c>
      <c r="AB71" s="53">
        <v>5.1271000000000004</v>
      </c>
      <c r="AC71" s="53">
        <v>5.79908</v>
      </c>
      <c r="AD71" s="7" t="e">
        <v>#N/A</v>
      </c>
      <c r="AH71" t="s">
        <v>62</v>
      </c>
    </row>
    <row r="72" spans="1:34" x14ac:dyDescent="0.25">
      <c r="A72" s="1">
        <v>63</v>
      </c>
      <c r="B72" s="1" t="s">
        <v>64</v>
      </c>
      <c r="C72" s="16" t="s">
        <v>37</v>
      </c>
      <c r="D72" s="24">
        <v>46259.542870370373</v>
      </c>
      <c r="E72" s="48">
        <v>46287.54287037038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2.9257599999999999</v>
      </c>
      <c r="L72" s="7">
        <v>3.8549000000000002</v>
      </c>
      <c r="M72" s="7">
        <v>4.3495999999999997</v>
      </c>
      <c r="N72" s="7">
        <v>4.9049199999999997</v>
      </c>
      <c r="O72" s="7">
        <v>3.6592899999999999</v>
      </c>
      <c r="P72" s="7">
        <v>6.01227</v>
      </c>
      <c r="Q72" s="7">
        <v>4.6290500000000003</v>
      </c>
      <c r="R72" s="7">
        <v>3.7176399999999998</v>
      </c>
      <c r="S72" s="7">
        <v>4.6309300000000002</v>
      </c>
      <c r="T72" s="7">
        <v>4.0617900000000002</v>
      </c>
      <c r="U72" s="7">
        <v>1.6300399999999999</v>
      </c>
      <c r="V72" s="7">
        <v>4.1431199999999997</v>
      </c>
      <c r="W72" s="7">
        <v>3.1636899999999999</v>
      </c>
      <c r="X72" s="7">
        <v>10.39635</v>
      </c>
      <c r="Y72" s="7">
        <v>2.2260399999999998</v>
      </c>
      <c r="Z72" s="53">
        <v>6.3413700000000004</v>
      </c>
      <c r="AA72" s="53">
        <v>14.43826</v>
      </c>
      <c r="AB72" s="53">
        <v>5.4117899999999999</v>
      </c>
      <c r="AC72" s="53">
        <v>5.4692400000000001</v>
      </c>
      <c r="AD72" s="7" t="e">
        <v>#N/A</v>
      </c>
      <c r="AH72" t="s">
        <v>62</v>
      </c>
    </row>
    <row r="73" spans="1:34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0">
        <v>46301.371874999997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-52670</v>
      </c>
      <c r="X73" s="18">
        <v>-52500</v>
      </c>
      <c r="Y73" s="18">
        <v>-53657</v>
      </c>
      <c r="Z73" s="18">
        <v>-52883</v>
      </c>
      <c r="AA73" s="18">
        <v>-75752</v>
      </c>
      <c r="AB73" s="18">
        <v>-71182</v>
      </c>
      <c r="AC73" s="17">
        <v>-88576</v>
      </c>
      <c r="AD73" s="18" t="e">
        <v>#N/A</v>
      </c>
      <c r="AH73" t="s">
        <v>10</v>
      </c>
    </row>
    <row r="74" spans="1:34" x14ac:dyDescent="0.25">
      <c r="A74" s="1">
        <v>81</v>
      </c>
      <c r="B74" s="1" t="s">
        <v>58</v>
      </c>
      <c r="C74" s="16" t="s">
        <v>37</v>
      </c>
      <c r="D74" s="24">
        <v>46273.678356481483</v>
      </c>
      <c r="E74" s="48">
        <v>46279.678356481483</v>
      </c>
      <c r="F74" s="1" t="s">
        <v>57</v>
      </c>
      <c r="G74" s="41" t="e">
        <v>#N/A</v>
      </c>
      <c r="H74" s="47">
        <v>4.51</v>
      </c>
      <c r="I74" s="47">
        <v>4.42</v>
      </c>
      <c r="J74" s="47">
        <v>4.2699999999999996</v>
      </c>
      <c r="K74" s="47">
        <v>4.21</v>
      </c>
      <c r="L74" s="47">
        <v>4.22</v>
      </c>
      <c r="M74" s="47">
        <v>4.2</v>
      </c>
      <c r="N74" s="47">
        <v>4.21</v>
      </c>
      <c r="O74" s="47">
        <v>4.25</v>
      </c>
      <c r="P74" s="47">
        <v>4.2300000000000004</v>
      </c>
      <c r="Q74" s="47">
        <v>4.25</v>
      </c>
      <c r="R74" s="47">
        <v>4.12</v>
      </c>
      <c r="S74" s="47">
        <v>3.92</v>
      </c>
      <c r="T74" s="47">
        <v>3.82</v>
      </c>
      <c r="U74" s="47">
        <v>3.78</v>
      </c>
      <c r="V74" s="47">
        <v>3.59</v>
      </c>
      <c r="W74" s="47">
        <v>3.57</v>
      </c>
      <c r="X74" s="47">
        <v>3.6</v>
      </c>
      <c r="Y74" s="47">
        <v>3.61</v>
      </c>
      <c r="Z74" s="47">
        <v>3.61</v>
      </c>
      <c r="AA74" s="47">
        <v>3.6</v>
      </c>
      <c r="AB74" s="47">
        <v>3.66</v>
      </c>
      <c r="AC74" s="47">
        <v>3.73</v>
      </c>
      <c r="AD74" s="47">
        <v>3.72</v>
      </c>
      <c r="AH74" t="s">
        <v>44</v>
      </c>
    </row>
    <row r="75" spans="1:34" x14ac:dyDescent="0.25">
      <c r="A75" s="25">
        <v>79</v>
      </c>
      <c r="B75" s="25" t="s">
        <v>56</v>
      </c>
      <c r="C75" s="16" t="s">
        <v>37</v>
      </c>
      <c r="D75" s="15">
        <v>46268.678148148145</v>
      </c>
      <c r="E75" s="51">
        <v>46279.678148148145</v>
      </c>
      <c r="F75" s="25" t="s">
        <v>55</v>
      </c>
      <c r="G75" s="41" t="e">
        <v>#N/A</v>
      </c>
      <c r="H75" s="47">
        <v>8</v>
      </c>
      <c r="I75" s="47">
        <v>7.81</v>
      </c>
      <c r="J75" s="47">
        <v>7.65</v>
      </c>
      <c r="K75" s="47">
        <v>7.5</v>
      </c>
      <c r="L75" s="47">
        <v>7.5</v>
      </c>
      <c r="M75" s="47">
        <v>7.5</v>
      </c>
      <c r="N75" s="47">
        <v>7.5</v>
      </c>
      <c r="O75" s="47">
        <v>7.5</v>
      </c>
      <c r="P75" s="47">
        <v>7.5</v>
      </c>
      <c r="Q75" s="47">
        <v>7.5</v>
      </c>
      <c r="R75" s="47">
        <v>7.5</v>
      </c>
      <c r="S75" s="47">
        <v>7.38</v>
      </c>
      <c r="T75" s="47">
        <v>7.23</v>
      </c>
      <c r="U75" s="47">
        <v>7</v>
      </c>
      <c r="V75" s="47">
        <v>6.84</v>
      </c>
      <c r="W75" s="47">
        <v>6.75</v>
      </c>
      <c r="X75" s="47">
        <v>6.75</v>
      </c>
      <c r="Y75" s="47">
        <v>6.75</v>
      </c>
      <c r="Z75" s="47">
        <v>6.75</v>
      </c>
      <c r="AA75" s="47">
        <v>6.75</v>
      </c>
      <c r="AB75" s="47">
        <v>6.75</v>
      </c>
      <c r="AC75" s="47">
        <v>6.75</v>
      </c>
      <c r="AD75" s="47">
        <v>6.75</v>
      </c>
      <c r="AH75" t="s">
        <v>44</v>
      </c>
    </row>
    <row r="76" spans="1:34" x14ac:dyDescent="0.25">
      <c r="A76" s="6">
        <v>149</v>
      </c>
      <c r="B76" s="6" t="s">
        <v>54</v>
      </c>
      <c r="C76" s="22" t="s">
        <v>37</v>
      </c>
      <c r="D76" s="21">
        <v>46273.678391203706</v>
      </c>
      <c r="E76" s="52">
        <v>46279.678391203706</v>
      </c>
      <c r="F76" s="6" t="s">
        <v>53</v>
      </c>
      <c r="G76" s="44" t="e">
        <v>#N/A</v>
      </c>
      <c r="H76" s="49">
        <v>3.97</v>
      </c>
      <c r="I76" s="49">
        <v>4.26</v>
      </c>
      <c r="J76" s="49">
        <v>4.2300000000000004</v>
      </c>
      <c r="K76" s="49">
        <v>4.2699999999999996</v>
      </c>
      <c r="L76" s="49">
        <v>4.21</v>
      </c>
      <c r="M76" s="49">
        <v>3.97</v>
      </c>
      <c r="N76" s="49">
        <v>3.78</v>
      </c>
      <c r="O76" s="49">
        <v>3.92</v>
      </c>
      <c r="P76" s="49">
        <v>3.89</v>
      </c>
      <c r="Q76" s="49">
        <v>3.88</v>
      </c>
      <c r="R76" s="49">
        <v>3.7</v>
      </c>
      <c r="S76" s="49">
        <v>3.57</v>
      </c>
      <c r="T76" s="49">
        <v>3.52</v>
      </c>
      <c r="U76" s="49">
        <v>3.55</v>
      </c>
      <c r="V76" s="49">
        <v>3.5</v>
      </c>
      <c r="W76" s="49">
        <v>3.54</v>
      </c>
      <c r="X76" s="49">
        <v>3.47</v>
      </c>
      <c r="Y76" s="49">
        <v>3.71</v>
      </c>
      <c r="Z76" s="49">
        <v>3.8</v>
      </c>
      <c r="AA76" s="49">
        <v>4</v>
      </c>
      <c r="AB76" s="49">
        <v>4.1100000000000003</v>
      </c>
      <c r="AC76" s="49">
        <v>4.22</v>
      </c>
      <c r="AD76" s="49">
        <v>4.22</v>
      </c>
      <c r="AH76" t="s">
        <v>44</v>
      </c>
    </row>
    <row r="77" spans="1:34" x14ac:dyDescent="0.25">
      <c r="A77" s="1">
        <v>73</v>
      </c>
      <c r="B77" s="1" t="s">
        <v>52</v>
      </c>
      <c r="C77" s="16" t="s">
        <v>37</v>
      </c>
      <c r="D77" s="24">
        <v>46273.678298611114</v>
      </c>
      <c r="E77" s="51">
        <v>46279.678298611107</v>
      </c>
      <c r="F77" s="1" t="s">
        <v>51</v>
      </c>
      <c r="G77" s="41" t="e">
        <v>#N/A</v>
      </c>
      <c r="H77" s="47">
        <v>4.0999999999999996</v>
      </c>
      <c r="I77" s="47">
        <v>4.3600000000000003</v>
      </c>
      <c r="J77" s="47">
        <v>4.3899999999999997</v>
      </c>
      <c r="K77" s="47">
        <v>4.63</v>
      </c>
      <c r="L77" s="47">
        <v>4.45</v>
      </c>
      <c r="M77" s="47">
        <v>4.28</v>
      </c>
      <c r="N77" s="47">
        <v>4.28</v>
      </c>
      <c r="O77" s="47">
        <v>4.42</v>
      </c>
      <c r="P77" s="47">
        <v>4.38</v>
      </c>
      <c r="Q77" s="47">
        <v>4.3899999999999997</v>
      </c>
      <c r="R77" s="47">
        <v>4.26</v>
      </c>
      <c r="S77" s="47">
        <v>4.12</v>
      </c>
      <c r="T77" s="47">
        <v>4.0599999999999996</v>
      </c>
      <c r="U77" s="47">
        <v>4.09</v>
      </c>
      <c r="V77" s="47">
        <v>4.1399999999999997</v>
      </c>
      <c r="W77" s="47">
        <v>4.21</v>
      </c>
      <c r="X77" s="47">
        <v>4.13</v>
      </c>
      <c r="Y77" s="47">
        <v>4.25</v>
      </c>
      <c r="Z77" s="47">
        <v>4.32</v>
      </c>
      <c r="AA77" s="47">
        <v>4.4800000000000004</v>
      </c>
      <c r="AB77" s="47">
        <v>4.47</v>
      </c>
      <c r="AC77" s="47">
        <v>4.5999999999999996</v>
      </c>
      <c r="AD77" s="47">
        <v>4.68</v>
      </c>
      <c r="AH77" t="s">
        <v>44</v>
      </c>
    </row>
    <row r="78" spans="1:34" x14ac:dyDescent="0.25">
      <c r="A78" s="42">
        <v>145</v>
      </c>
      <c r="B78" s="42" t="s">
        <v>50</v>
      </c>
      <c r="C78" s="16" t="s">
        <v>42</v>
      </c>
      <c r="D78" s="24">
        <v>46266.710868055554</v>
      </c>
      <c r="E78" s="51">
        <v>46279.710868055554</v>
      </c>
      <c r="F78" s="42" t="s">
        <v>49</v>
      </c>
      <c r="G78" s="41">
        <v>0.1</v>
      </c>
      <c r="H78" s="41">
        <v>0.13</v>
      </c>
      <c r="I78" s="41">
        <v>0.1</v>
      </c>
      <c r="J78" s="41">
        <v>0.16</v>
      </c>
      <c r="K78" s="41">
        <v>0.36</v>
      </c>
      <c r="L78" s="41">
        <v>0.24</v>
      </c>
      <c r="M78" s="41">
        <v>0.31</v>
      </c>
      <c r="N78" s="41">
        <v>0.5</v>
      </c>
      <c r="O78" s="41">
        <v>0.5</v>
      </c>
      <c r="P78" s="41">
        <v>0.49</v>
      </c>
      <c r="Q78" s="41">
        <v>0.51</v>
      </c>
      <c r="R78" s="41">
        <v>0.56000000000000005</v>
      </c>
      <c r="S78" s="41">
        <v>0.55000000000000004</v>
      </c>
      <c r="T78" s="41">
        <v>0.54</v>
      </c>
      <c r="U78" s="41">
        <v>0.54</v>
      </c>
      <c r="V78" s="41">
        <v>0.64</v>
      </c>
      <c r="W78" s="41">
        <v>0.67</v>
      </c>
      <c r="X78" s="41">
        <v>0.66</v>
      </c>
      <c r="Y78" s="41">
        <v>0.54</v>
      </c>
      <c r="Z78" s="41">
        <v>0.52</v>
      </c>
      <c r="AA78" s="41">
        <v>0.48</v>
      </c>
      <c r="AB78" s="41">
        <v>0.36</v>
      </c>
      <c r="AC78" s="46">
        <v>0.38</v>
      </c>
      <c r="AD78" s="46">
        <v>0.46</v>
      </c>
      <c r="AE78" s="11"/>
      <c r="AH78" t="s">
        <v>10</v>
      </c>
    </row>
    <row r="79" spans="1:34" x14ac:dyDescent="0.25">
      <c r="A79" s="6">
        <v>75</v>
      </c>
      <c r="B79" s="6" t="s">
        <v>48</v>
      </c>
      <c r="C79" s="22" t="s">
        <v>37</v>
      </c>
      <c r="D79" s="21">
        <v>46273.678148148145</v>
      </c>
      <c r="E79" s="50">
        <v>46279.678148148145</v>
      </c>
      <c r="F79" s="6" t="s">
        <v>47</v>
      </c>
      <c r="G79" s="44" t="e">
        <v>#N/A</v>
      </c>
      <c r="H79" s="49">
        <v>1.81</v>
      </c>
      <c r="I79" s="49">
        <v>2.0299999999999998</v>
      </c>
      <c r="J79" s="49">
        <v>2.09</v>
      </c>
      <c r="K79" s="49">
        <v>2.23</v>
      </c>
      <c r="L79" s="49">
        <v>2.0299999999999998</v>
      </c>
      <c r="M79" s="49">
        <v>1.95</v>
      </c>
      <c r="N79" s="49">
        <v>2.04</v>
      </c>
      <c r="O79" s="49">
        <v>2.11</v>
      </c>
      <c r="P79" s="49">
        <v>2.09</v>
      </c>
      <c r="Q79" s="49">
        <v>2.0099999999999998</v>
      </c>
      <c r="R79" s="49">
        <v>1.88</v>
      </c>
      <c r="S79" s="49">
        <v>1.75</v>
      </c>
      <c r="T79" s="49">
        <v>1.76</v>
      </c>
      <c r="U79" s="49">
        <v>1.83</v>
      </c>
      <c r="V79" s="49">
        <v>1.9</v>
      </c>
      <c r="W79" s="49">
        <v>1.91</v>
      </c>
      <c r="X79" s="49">
        <v>1.82</v>
      </c>
      <c r="Y79" s="49">
        <v>1.91</v>
      </c>
      <c r="Z79" s="49">
        <v>1.94</v>
      </c>
      <c r="AA79" s="49">
        <v>2.04</v>
      </c>
      <c r="AB79" s="49">
        <v>2.1800000000000002</v>
      </c>
      <c r="AC79" s="49">
        <v>2.35</v>
      </c>
      <c r="AD79" s="49">
        <v>2.4</v>
      </c>
      <c r="AH79" t="s">
        <v>44</v>
      </c>
    </row>
    <row r="80" spans="1:34" x14ac:dyDescent="0.25">
      <c r="A80" s="1">
        <v>77</v>
      </c>
      <c r="B80" s="1" t="s">
        <v>46</v>
      </c>
      <c r="C80" s="16" t="s">
        <v>37</v>
      </c>
      <c r="D80" s="24">
        <v>46273.678414351853</v>
      </c>
      <c r="E80" s="48">
        <v>46279.67841435186</v>
      </c>
      <c r="F80" s="1" t="s">
        <v>45</v>
      </c>
      <c r="G80" s="41" t="e">
        <v>#N/A</v>
      </c>
      <c r="H80" s="47">
        <v>4.38</v>
      </c>
      <c r="I80" s="47">
        <v>4.54</v>
      </c>
      <c r="J80" s="47">
        <v>4.58</v>
      </c>
      <c r="K80" s="47">
        <v>4.8499999999999996</v>
      </c>
      <c r="L80" s="47">
        <v>4.68</v>
      </c>
      <c r="M80" s="47">
        <v>4.5999999999999996</v>
      </c>
      <c r="N80" s="47">
        <v>4.71</v>
      </c>
      <c r="O80" s="47">
        <v>4.9000000000000004</v>
      </c>
      <c r="P80" s="47">
        <v>4.8899999999999997</v>
      </c>
      <c r="Q80" s="47">
        <v>4.92</v>
      </c>
      <c r="R80" s="47">
        <v>4.87</v>
      </c>
      <c r="S80" s="47">
        <v>4.74</v>
      </c>
      <c r="T80" s="47">
        <v>4.6399999999999997</v>
      </c>
      <c r="U80" s="47">
        <v>4.7</v>
      </c>
      <c r="V80" s="47">
        <v>4.8</v>
      </c>
      <c r="W80" s="47">
        <v>4.84</v>
      </c>
      <c r="X80" s="47">
        <v>4.76</v>
      </c>
      <c r="Y80" s="47">
        <v>4.8499999999999996</v>
      </c>
      <c r="Z80" s="47">
        <v>4.91</v>
      </c>
      <c r="AA80" s="47">
        <v>5.03</v>
      </c>
      <c r="AB80" s="47">
        <v>4.95</v>
      </c>
      <c r="AC80" s="47">
        <v>5.0999999999999996</v>
      </c>
      <c r="AD80" s="47">
        <v>5.22</v>
      </c>
      <c r="AH80" t="s">
        <v>44</v>
      </c>
    </row>
    <row r="81" spans="1:34" x14ac:dyDescent="0.25">
      <c r="A81" s="25">
        <v>147</v>
      </c>
      <c r="B81" s="25" t="s">
        <v>43</v>
      </c>
      <c r="C81" s="16" t="s">
        <v>42</v>
      </c>
      <c r="D81" s="15">
        <v>46273.711562500001</v>
      </c>
      <c r="E81" s="14">
        <v>46279.711562500001</v>
      </c>
      <c r="F81" s="25" t="s">
        <v>41</v>
      </c>
      <c r="G81" s="41" t="e">
        <v>#N/A</v>
      </c>
      <c r="H81" s="41">
        <v>-0.62</v>
      </c>
      <c r="I81" s="41">
        <v>-0.26</v>
      </c>
      <c r="J81" s="41">
        <v>0</v>
      </c>
      <c r="K81" s="41">
        <v>0.28999999999999998</v>
      </c>
      <c r="L81" s="41">
        <v>0.12</v>
      </c>
      <c r="M81" s="41">
        <v>-0.06</v>
      </c>
      <c r="N81" s="41">
        <v>-0.04</v>
      </c>
      <c r="O81" s="41">
        <v>0.06</v>
      </c>
      <c r="P81" s="41">
        <v>-0.04</v>
      </c>
      <c r="Q81" s="41">
        <v>-0.02</v>
      </c>
      <c r="R81" s="41">
        <v>-0.04</v>
      </c>
      <c r="S81" s="41">
        <v>0.05</v>
      </c>
      <c r="T81" s="41">
        <v>0.08</v>
      </c>
      <c r="U81" s="41">
        <v>0.16</v>
      </c>
      <c r="V81" s="41">
        <v>0.46</v>
      </c>
      <c r="W81" s="41">
        <v>0.55000000000000004</v>
      </c>
      <c r="X81" s="41">
        <v>0.44</v>
      </c>
      <c r="Y81" s="41">
        <v>0.53</v>
      </c>
      <c r="Z81" s="41">
        <v>0.62</v>
      </c>
      <c r="AA81" s="41">
        <v>0.8</v>
      </c>
      <c r="AB81" s="41">
        <v>0.66</v>
      </c>
      <c r="AC81" s="46">
        <v>0.73</v>
      </c>
      <c r="AD81" s="46">
        <v>0.81</v>
      </c>
      <c r="AH81" t="s">
        <v>10</v>
      </c>
    </row>
    <row r="82" spans="1:34" x14ac:dyDescent="0.25">
      <c r="A82" s="6">
        <v>67</v>
      </c>
      <c r="B82" s="6" t="s">
        <v>40</v>
      </c>
      <c r="C82" s="22" t="s">
        <v>37</v>
      </c>
      <c r="D82" s="21">
        <v>46273.678402777776</v>
      </c>
      <c r="E82" s="20">
        <v>46279.678402777776</v>
      </c>
      <c r="F82" s="45" t="s">
        <v>39</v>
      </c>
      <c r="G82" s="44" t="e">
        <v>#N/A</v>
      </c>
      <c r="H82" s="44">
        <v>1.0894999999999999</v>
      </c>
      <c r="I82" s="44">
        <v>1.0621</v>
      </c>
      <c r="J82" s="44">
        <v>1.0471999999999999</v>
      </c>
      <c r="K82" s="44">
        <v>1.0356000000000001</v>
      </c>
      <c r="L82" s="44">
        <v>1.0412999999999999</v>
      </c>
      <c r="M82" s="44">
        <v>1.0812999999999999</v>
      </c>
      <c r="N82" s="44">
        <v>1.1232</v>
      </c>
      <c r="O82" s="44">
        <v>1.1274</v>
      </c>
      <c r="P82" s="44">
        <v>1.1534</v>
      </c>
      <c r="Q82" s="44">
        <v>1.1671</v>
      </c>
      <c r="R82" s="44">
        <v>1.1647000000000001</v>
      </c>
      <c r="S82" s="44">
        <v>1.1738999999999999</v>
      </c>
      <c r="T82" s="44">
        <v>1.1640999999999999</v>
      </c>
      <c r="U82" s="44">
        <v>1.1557999999999999</v>
      </c>
      <c r="V82" s="44">
        <v>1.171</v>
      </c>
      <c r="W82" s="44">
        <v>1.1744000000000001</v>
      </c>
      <c r="X82" s="44">
        <v>1.1823999999999999</v>
      </c>
      <c r="Y82" s="44">
        <v>1.1556999999999999</v>
      </c>
      <c r="Z82" s="44">
        <v>1.1697</v>
      </c>
      <c r="AA82" s="44">
        <v>1.1680999999999999</v>
      </c>
      <c r="AB82" s="44">
        <v>1.1516</v>
      </c>
      <c r="AC82" s="44">
        <v>1.1423000000000001</v>
      </c>
      <c r="AD82" s="43">
        <v>1.1594</v>
      </c>
      <c r="AH82" t="s">
        <v>6</v>
      </c>
    </row>
    <row r="83" spans="1:34" x14ac:dyDescent="0.25">
      <c r="A83" s="25">
        <v>65</v>
      </c>
      <c r="B83" s="25" t="s">
        <v>38</v>
      </c>
      <c r="C83" s="16" t="s">
        <v>37</v>
      </c>
      <c r="D83" s="15">
        <v>46273.678379629629</v>
      </c>
      <c r="E83" s="23">
        <v>46279.678379629622</v>
      </c>
      <c r="F83" s="42" t="s">
        <v>36</v>
      </c>
      <c r="G83" s="41" t="e">
        <v>#N/A</v>
      </c>
      <c r="H83" s="41">
        <v>123.59529999999999</v>
      </c>
      <c r="I83" s="41">
        <v>126.3113</v>
      </c>
      <c r="J83" s="41">
        <v>127.5758</v>
      </c>
      <c r="K83" s="41">
        <v>128.83699999999999</v>
      </c>
      <c r="L83" s="41">
        <v>127.8758</v>
      </c>
      <c r="M83" s="41">
        <v>126.24299999999999</v>
      </c>
      <c r="N83" s="41">
        <v>124.14019999999999</v>
      </c>
      <c r="O83" s="41">
        <v>122.34220000000001</v>
      </c>
      <c r="P83" s="41">
        <v>120.5939</v>
      </c>
      <c r="Q83" s="41">
        <v>120.1127</v>
      </c>
      <c r="R83" s="41">
        <v>120.5758</v>
      </c>
      <c r="S83" s="41">
        <v>120.0291</v>
      </c>
      <c r="T83" s="41">
        <v>120.76179999999999</v>
      </c>
      <c r="U83" s="41">
        <v>121.4177</v>
      </c>
      <c r="V83" s="41">
        <v>120.1883</v>
      </c>
      <c r="W83" s="41">
        <v>119.2298</v>
      </c>
      <c r="X83" s="41">
        <v>117.90600000000001</v>
      </c>
      <c r="Y83" s="41">
        <v>119.9199</v>
      </c>
      <c r="Z83" s="41">
        <v>119.0363</v>
      </c>
      <c r="AA83" s="41">
        <v>118.7792</v>
      </c>
      <c r="AB83" s="41">
        <v>120.0834</v>
      </c>
      <c r="AC83" s="41">
        <v>120.59699999999999</v>
      </c>
      <c r="AD83" s="40">
        <v>118.85120000000001</v>
      </c>
      <c r="AH83" t="s">
        <v>10</v>
      </c>
    </row>
    <row r="84" spans="1:34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idden="1" x14ac:dyDescent="0.25">
      <c r="A118" s="10"/>
      <c r="B118" s="10"/>
      <c r="C118" s="10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idden="1" x14ac:dyDescent="0.25"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idden="1" x14ac:dyDescent="0.25"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idden="1" x14ac:dyDescent="0.25">
      <c r="A121" s="6"/>
      <c r="B121" s="6"/>
      <c r="C121" s="6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idden="1" x14ac:dyDescent="0.25">
      <c r="F122" s="1" t="s">
        <v>4</v>
      </c>
    </row>
    <row r="123" spans="1:30" hidden="1" x14ac:dyDescent="0.25"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idden="1" x14ac:dyDescent="0.25"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idden="1" x14ac:dyDescent="0.25"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idden="1" x14ac:dyDescent="0.25">
      <c r="F126" s="1" t="s">
        <v>3</v>
      </c>
    </row>
    <row r="127" spans="1:30" hidden="1" x14ac:dyDescent="0.25"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idden="1" x14ac:dyDescent="0.25"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idden="1" x14ac:dyDescent="0.25">
      <c r="F130" s="1" t="s">
        <v>4</v>
      </c>
    </row>
    <row r="131" spans="6:34" hidden="1" x14ac:dyDescent="0.25">
      <c r="F131" s="1" t="s">
        <v>2</v>
      </c>
      <c r="G131" s="3">
        <v>-10000000000</v>
      </c>
      <c r="H131" s="3">
        <v>-10000000000</v>
      </c>
      <c r="I131" s="3">
        <v>2.00332</v>
      </c>
      <c r="J131" s="3">
        <v>-10000000000</v>
      </c>
      <c r="K131" s="3">
        <v>-10000000000</v>
      </c>
      <c r="L131" s="3">
        <v>-10000000000</v>
      </c>
      <c r="M131" s="3">
        <v>-10000000000</v>
      </c>
      <c r="N131" s="3">
        <v>-10000000000</v>
      </c>
      <c r="O131" s="3">
        <v>-10000000000</v>
      </c>
      <c r="P131" s="3">
        <v>-10000000000</v>
      </c>
      <c r="Q131" s="3">
        <v>-10000000000</v>
      </c>
      <c r="R131" s="3">
        <v>-10000000000</v>
      </c>
      <c r="S131" s="3">
        <v>-10000000000</v>
      </c>
      <c r="T131" s="3">
        <v>-10000000000</v>
      </c>
      <c r="U131" s="3">
        <v>-10000000000</v>
      </c>
      <c r="V131" s="3">
        <v>-10000000000</v>
      </c>
      <c r="W131" s="3">
        <v>-10000000000</v>
      </c>
      <c r="X131" s="3">
        <v>-10000000000</v>
      </c>
      <c r="Y131" s="3">
        <v>-10000000000</v>
      </c>
      <c r="Z131" s="3">
        <v>-10000000000</v>
      </c>
      <c r="AA131" s="3">
        <v>-10000000000</v>
      </c>
      <c r="AB131" s="3">
        <v>-10000000000</v>
      </c>
      <c r="AC131" s="3">
        <v>-10000000000</v>
      </c>
      <c r="AD131" s="3" t="e">
        <v>#N/A</v>
      </c>
      <c r="AH131">
        <v>83</v>
      </c>
    </row>
    <row r="132" spans="6:34" hidden="1" x14ac:dyDescent="0.25">
      <c r="F132" s="1" t="s">
        <v>1</v>
      </c>
      <c r="G132" s="3">
        <v>-2.6955499999999999</v>
      </c>
      <c r="H132" s="3">
        <v>-1.32026</v>
      </c>
      <c r="I132" s="3">
        <v>-10000000000</v>
      </c>
      <c r="J132" s="3">
        <v>-10000000000</v>
      </c>
      <c r="K132" s="3">
        <v>-10000000000</v>
      </c>
      <c r="L132" s="3">
        <v>-10000000000</v>
      </c>
      <c r="M132" s="3">
        <v>-10000000000</v>
      </c>
      <c r="N132" s="3">
        <v>-10000000000</v>
      </c>
      <c r="O132" s="3">
        <v>1.8177700000000001</v>
      </c>
      <c r="P132" s="3">
        <v>1.82314</v>
      </c>
      <c r="Q132" s="3">
        <v>2.1143399999999999</v>
      </c>
      <c r="R132" s="3">
        <v>-10000000000</v>
      </c>
      <c r="S132" s="3">
        <v>-10000000000</v>
      </c>
      <c r="T132" s="3">
        <v>3.1039699999999999</v>
      </c>
      <c r="U132" s="3">
        <v>-10000000000</v>
      </c>
      <c r="V132" s="3">
        <v>3.4494099999999999</v>
      </c>
      <c r="W132" s="3">
        <v>2.7845900000000001</v>
      </c>
      <c r="X132" s="3">
        <v>-10000000000</v>
      </c>
      <c r="Y132" s="3">
        <v>-10000000000</v>
      </c>
      <c r="Z132" s="3">
        <v>-10000000000</v>
      </c>
      <c r="AA132" s="3">
        <v>-10000000000</v>
      </c>
      <c r="AB132" s="3">
        <v>-10000000000</v>
      </c>
      <c r="AC132" s="3">
        <v>-10000000000</v>
      </c>
      <c r="AD132" s="3" t="e">
        <v>#N/A</v>
      </c>
    </row>
    <row r="133" spans="6:34" hidden="1" x14ac:dyDescent="0.25">
      <c r="F133" s="1" t="s">
        <v>0</v>
      </c>
      <c r="G133" s="3">
        <v>-10000000000</v>
      </c>
      <c r="H133" s="3">
        <v>-10000000000</v>
      </c>
      <c r="I133" s="3">
        <v>-10000000000</v>
      </c>
      <c r="J133" s="3">
        <v>4.7821400000000001</v>
      </c>
      <c r="K133" s="3">
        <v>8.6400299999999994</v>
      </c>
      <c r="L133" s="3">
        <v>9.3640600000000003</v>
      </c>
      <c r="M133" s="3">
        <v>6.5289299999999999</v>
      </c>
      <c r="N133" s="3">
        <v>0.27726000000000001</v>
      </c>
      <c r="O133" s="3">
        <v>-10000000000</v>
      </c>
      <c r="P133" s="3">
        <v>-10000000000</v>
      </c>
      <c r="Q133" s="3">
        <v>-10000000000</v>
      </c>
      <c r="R133" s="3">
        <v>1.4526600000000001</v>
      </c>
      <c r="S133" s="3">
        <v>3.4353099999999999</v>
      </c>
      <c r="T133" s="3">
        <v>-10000000000</v>
      </c>
      <c r="U133" s="3">
        <v>1.89177</v>
      </c>
      <c r="V133" s="3">
        <v>-10000000000</v>
      </c>
      <c r="W133" s="3">
        <v>-10000000000</v>
      </c>
      <c r="X133" s="3">
        <v>5.3440700000000003</v>
      </c>
      <c r="Y133" s="3">
        <v>9.3355499999999996</v>
      </c>
      <c r="Z133" s="3">
        <v>15.277620000000001</v>
      </c>
      <c r="AA133" s="3">
        <v>20.769490000000001</v>
      </c>
      <c r="AB133" s="3">
        <v>10.616199999999999</v>
      </c>
      <c r="AC133" s="3">
        <v>7.2556099999999999</v>
      </c>
      <c r="AD133" s="3" t="e">
        <v>#N/A</v>
      </c>
    </row>
    <row r="134" spans="6:34" hidden="1" x14ac:dyDescent="0.25">
      <c r="F134" s="1" t="s">
        <v>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6:34" hidden="1" x14ac:dyDescent="0.25">
      <c r="F135" s="1" t="s">
        <v>2</v>
      </c>
      <c r="G135" s="3">
        <v>10000000000</v>
      </c>
      <c r="H135" s="3">
        <v>10000000000</v>
      </c>
      <c r="I135" s="3">
        <v>10000000000</v>
      </c>
      <c r="J135" s="3">
        <v>10000000000</v>
      </c>
      <c r="K135" s="3">
        <v>10000000000</v>
      </c>
      <c r="L135" s="3">
        <v>10000000000</v>
      </c>
      <c r="M135" s="3">
        <v>10000000000</v>
      </c>
      <c r="N135" s="3">
        <v>0.29111999999999999</v>
      </c>
      <c r="O135" s="3">
        <v>10000000000</v>
      </c>
      <c r="P135" s="3">
        <v>1.8916599999999999</v>
      </c>
      <c r="Q135" s="3">
        <v>1.9171</v>
      </c>
      <c r="R135" s="3">
        <v>1.9361200000000001</v>
      </c>
      <c r="S135" s="3">
        <v>3.10771</v>
      </c>
      <c r="T135" s="3">
        <v>10000000000</v>
      </c>
      <c r="U135" s="3">
        <v>2.7689699999999999</v>
      </c>
      <c r="V135" s="3">
        <v>2.15889</v>
      </c>
      <c r="W135" s="3">
        <v>1.11154</v>
      </c>
      <c r="X135" s="3">
        <v>1.6553800000000001</v>
      </c>
      <c r="Y135" s="3">
        <v>10000000000</v>
      </c>
      <c r="Z135" s="3">
        <v>10000000000</v>
      </c>
      <c r="AA135" s="3">
        <v>10000000000</v>
      </c>
      <c r="AB135" s="3">
        <v>6.6032299999999999</v>
      </c>
      <c r="AC135" s="3">
        <v>5.50793</v>
      </c>
      <c r="AD135" s="3" t="e">
        <v>#N/A</v>
      </c>
    </row>
    <row r="136" spans="6:34" hidden="1" x14ac:dyDescent="0.25">
      <c r="F136" s="1" t="s">
        <v>1</v>
      </c>
      <c r="G136" s="3">
        <v>10000000000</v>
      </c>
      <c r="H136" s="3">
        <v>10000000000</v>
      </c>
      <c r="I136" s="3">
        <v>10000000000</v>
      </c>
      <c r="J136" s="3">
        <v>9.7409999999999997E-2</v>
      </c>
      <c r="K136" s="3">
        <v>0.96982999999999997</v>
      </c>
      <c r="L136" s="3">
        <v>0.28866000000000003</v>
      </c>
      <c r="M136" s="3">
        <v>0.69299999999999995</v>
      </c>
      <c r="N136" s="3">
        <v>10000000000</v>
      </c>
      <c r="O136" s="3">
        <v>10000000000</v>
      </c>
      <c r="P136" s="3">
        <v>10000000000</v>
      </c>
      <c r="Q136" s="3">
        <v>10000000000</v>
      </c>
      <c r="R136" s="3">
        <v>10000000000</v>
      </c>
      <c r="S136" s="3">
        <v>10000000000</v>
      </c>
      <c r="T136" s="3">
        <v>10000000000</v>
      </c>
      <c r="U136" s="3">
        <v>10000000000</v>
      </c>
      <c r="V136" s="3">
        <v>10000000000</v>
      </c>
      <c r="W136" s="3">
        <v>10000000000</v>
      </c>
      <c r="X136" s="3">
        <v>10000000000</v>
      </c>
      <c r="Y136" s="3">
        <v>6.9090499999999997</v>
      </c>
      <c r="Z136" s="3">
        <v>9.4696999999999996</v>
      </c>
      <c r="AA136" s="3">
        <v>12.415469999999999</v>
      </c>
      <c r="AB136" s="3">
        <v>10000000000</v>
      </c>
      <c r="AC136" s="3">
        <v>10000000000</v>
      </c>
      <c r="AD136" s="3" t="e">
        <v>#N/A</v>
      </c>
      <c r="AH136">
        <v>87</v>
      </c>
    </row>
    <row r="137" spans="6:34" hidden="1" x14ac:dyDescent="0.25">
      <c r="F137" s="1" t="s">
        <v>0</v>
      </c>
      <c r="G137" s="3">
        <v>-8.3524399999999996</v>
      </c>
      <c r="H137" s="3">
        <v>-4.3331</v>
      </c>
      <c r="I137" s="3">
        <v>-2.0904600000000002</v>
      </c>
      <c r="J137" s="3">
        <v>10000000000</v>
      </c>
      <c r="K137" s="3">
        <v>10000000000</v>
      </c>
      <c r="L137" s="3">
        <v>10000000000</v>
      </c>
      <c r="M137" s="3">
        <v>10000000000</v>
      </c>
      <c r="N137" s="3">
        <v>10000000000</v>
      </c>
      <c r="O137" s="3">
        <v>-1.1279399999999999</v>
      </c>
      <c r="P137" s="3">
        <v>10000000000</v>
      </c>
      <c r="Q137" s="3">
        <v>10000000000</v>
      </c>
      <c r="R137" s="3">
        <v>10000000000</v>
      </c>
      <c r="S137" s="3">
        <v>10000000000</v>
      </c>
      <c r="T137" s="3">
        <v>-0.64237999999999995</v>
      </c>
      <c r="U137" s="3">
        <v>10000000000</v>
      </c>
      <c r="V137" s="3">
        <v>10000000000</v>
      </c>
      <c r="W137" s="3">
        <v>10000000000</v>
      </c>
      <c r="X137" s="3">
        <v>10000000000</v>
      </c>
      <c r="Y137" s="3">
        <v>10000000000</v>
      </c>
      <c r="Z137" s="3">
        <v>10000000000</v>
      </c>
      <c r="AA137" s="3">
        <v>10000000000</v>
      </c>
      <c r="AB137" s="3">
        <v>10000000000</v>
      </c>
      <c r="AC137" s="3">
        <v>10000000000</v>
      </c>
      <c r="AD137" s="3" t="e">
        <v>#N/A</v>
      </c>
    </row>
    <row r="138" spans="6:34" hidden="1" x14ac:dyDescent="0.25"/>
    <row r="139" spans="6:34" ht="16.5" hidden="1" customHeight="1" x14ac:dyDescent="0.25"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idden="1" x14ac:dyDescent="0.25"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idden="1" x14ac:dyDescent="0.25"/>
    <row r="142" spans="6:34" hidden="1" x14ac:dyDescent="0.25"/>
    <row r="143" spans="6:34" hidden="1" x14ac:dyDescent="0.25"/>
    <row r="144" spans="6:34" hidden="1" x14ac:dyDescent="0.25"/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8F67EA17-72F3-4C55-BA6A-E347502283E9}">
      <formula1>FormatOptions</formula1>
    </dataValidation>
  </dataValidations>
  <hyperlinks>
    <hyperlink ref="C4" r:id="rId1" display="https://fred.stlouisfed.org/series/MPCTXXXXS" xr:uid="{B1CDF197-0F20-40A1-BBB4-EF666552F227}"/>
    <hyperlink ref="C5" r:id="rId2" display="https://fred.stlouisfed.org/series/TLPRVCONS" xr:uid="{D595EB5B-CAE1-4FA2-B8E0-7D33F5D912FD}"/>
    <hyperlink ref="C6" r:id="rId3" display="https://fred.stlouisfed.org/series/TLRESCONS" xr:uid="{EF8A6594-8E8A-4BC2-B70E-51437604745B}"/>
    <hyperlink ref="C7" r:id="rId4" display="https://fred.stlouisfed.org/series/TLHWYCONS" xr:uid="{0A36F2FA-4850-4049-B404-0E9ADDEF9CEE}"/>
    <hyperlink ref="C8" r:id="rId5" display="https://fred.stlouisfed.org/series/HSN1F" xr:uid="{E6B4D8EF-4B6B-40AD-BF04-6CB9878E0FE0}"/>
    <hyperlink ref="C9" r:id="rId6" display="https://fred.stlouisfed.org/series/HOUST" xr:uid="{5AF88EE6-0F26-4DE6-B051-4D9D50D15E9D}"/>
    <hyperlink ref="C11" r:id="rId7" display="https://fred.stlouisfed.org/series/UNDCONTSA" xr:uid="{D88FD963-1334-4739-806E-7E3E74229DDD}"/>
    <hyperlink ref="C12" r:id="rId8" display="https://fred.stlouisfed.org/series/PERMIT" xr:uid="{26B945C8-4CF2-4D4F-A8A6-76E3ED540CB8}"/>
    <hyperlink ref="C13" r:id="rId9" display="https://fred.stlouisfed.org/series/MORTGAGE30US" xr:uid="{55AC58C8-0070-4F54-9D76-45F17B4F14B9}"/>
    <hyperlink ref="C16" r:id="rId10" display="https://fred.stlouisfed.org/series/ALTSALES" xr:uid="{82AA7586-33C3-4CFA-AC62-884A0DF79999}"/>
    <hyperlink ref="C17" r:id="rId11" display="https://fred.stlouisfed.org/series/AISRSA" xr:uid="{014D594B-4863-4FB0-B5D9-DA6577512C7C}"/>
    <hyperlink ref="C18" r:id="rId12" display="https://fred.stlouisfed.org/series/DAUTOSAAR" xr:uid="{2FA83A54-19D2-4D2D-BD9E-3E280B3CEB08}"/>
    <hyperlink ref="C19" r:id="rId13" display="https://fred.stlouisfed.org/series/DAUPSA" xr:uid="{67252529-4DFA-494C-9557-49FC76B46EE7}"/>
    <hyperlink ref="C23" r:id="rId14" display="https://fred.stlouisfed.org/series/UNEMPLOY" xr:uid="{2CE87EA2-8B61-42E5-8A3B-8A7A2BFD64A0}"/>
    <hyperlink ref="C24" r:id="rId15" display="https://fred.stlouisfed.org/series/UNRATE" xr:uid="{E3900BD9-D455-4B83-8111-262936EA53DA}"/>
    <hyperlink ref="C25" r:id="rId16" display="https://fred.stlouisfed.org/series/AWHNONAG" xr:uid="{AB0BC2F2-0A85-4B72-98B0-5E10C9B12ED2}"/>
    <hyperlink ref="C26" r:id="rId17" display="https://fred.stlouisfed.org/series/CLF16OV" xr:uid="{FB444529-A89B-4580-A241-CA496CC2A782}"/>
    <hyperlink ref="C29" r:id="rId18" display="https://fred.stlouisfed.org/series/INDPRO" xr:uid="{D7B12C57-A251-45B7-8986-79E31DD84DA8}"/>
    <hyperlink ref="C30" r:id="rId19" display="https://fred.stlouisfed.org/series/TCU" xr:uid="{4ACF4763-27E9-4D8E-9374-5C591098CA94}"/>
    <hyperlink ref="C31" r:id="rId20" display="https://fred.stlouisfed.org/series/AMTMNO" xr:uid="{D9B89946-3BB8-4747-A9FB-B88615CC61D3}"/>
    <hyperlink ref="C32" r:id="rId21" display="https://fred.stlouisfed.org/series/DGORDER" xr:uid="{41839C4E-6CE8-45B0-841C-01B979CEF2E8}"/>
    <hyperlink ref="C33" r:id="rId22" display="https://fred.stlouisfed.org/series/ANXAVS" xr:uid="{EE4A2E02-5089-4B01-A6D9-9929AE489E87}"/>
    <hyperlink ref="C36" r:id="rId23" display="https://fred.stlouisfed.org/series/BUSINV" xr:uid="{3D8C58D0-7DD8-4EE9-98AB-458D16E6C748}"/>
    <hyperlink ref="C37" r:id="rId24" display="https://fred.stlouisfed.org/series/ISRATIO" xr:uid="{AE17323A-6CC3-4FDE-8B20-C3704BA4965D}"/>
    <hyperlink ref="C38" r:id="rId25" display="https://fred.stlouisfed.org/series/RETAILMPCIMSA" xr:uid="{8A059160-36ED-4576-A28D-EA2DC711559E}"/>
    <hyperlink ref="C39" r:id="rId26" display="https://fred.stlouisfed.org/series/ACNGTI" xr:uid="{2F8EA804-1E88-439C-9F65-9D7B091424C6}"/>
    <hyperlink ref="C42" r:id="rId27" display="https://fred.stlouisfed.org/series/CPIAUCSL" xr:uid="{68B11AAF-5786-4655-8132-D8A85277CD4D}"/>
    <hyperlink ref="C43" r:id="rId28" display="https://fred.stlouisfed.org/series/CPIFABSL" xr:uid="{5D19D1CA-E093-4553-AED1-035FACA7307E}"/>
    <hyperlink ref="C44" r:id="rId29" display="https://fred.stlouisfed.org/series/CPIENGSL" xr:uid="{FEA52433-ADC2-4FAD-B9BF-B92793B860C2}"/>
    <hyperlink ref="C45" r:id="rId30" display="https://fred.stlouisfed.org/series/CPILFESL" xr:uid="{9FF4BEDF-2026-461C-9B9B-04234AE83FDB}"/>
    <hyperlink ref="C48" r:id="rId31" display="https://fred.stlouisfed.org/series/WPUFD49207" xr:uid="{9085F502-6A2B-4B20-BA58-2D1A73CCA596}"/>
    <hyperlink ref="C49" r:id="rId32" display="https://fred.stlouisfed.org/series/WPSID61" xr:uid="{A3B9E05E-8581-4BED-8768-47B414E38403}"/>
    <hyperlink ref="C50" r:id="rId33" display="https://fred.stlouisfed.org/series/PRAWMINDEXM" xr:uid="{D7B3996D-6B28-4869-888E-DE1A04EA542B}"/>
    <hyperlink ref="C52" r:id="rId34" display="https://fred.stlouisfed.org/series/DCOILWTICO" xr:uid="{6F8D562D-9119-49F9-9A13-5FF82861106B}"/>
    <hyperlink ref="C53" r:id="rId35" display="https://fred.stlouisfed.org/series/DCOILBRENTEU" xr:uid="{7C350D01-CD8A-4D67-A655-24D22D2D9D88}"/>
    <hyperlink ref="C54" r:id="rId36" display="https://fred.stlouisfed.org/series/DHHNGSP" xr:uid="{464F7088-4296-4E0E-9920-08944E731FCB}"/>
    <hyperlink ref="C58" r:id="rId37" display="https://fred.stlouisfed.org/series/DHHNGSP" xr:uid="{CCB7F059-6F4A-403D-908E-5BBBFE97DD2C}"/>
    <hyperlink ref="C59" r:id="rId38" display="https://fred.stlouisfed.org/series/PI" xr:uid="{83DFE48E-398F-45C9-856D-C54C09B8C014}"/>
    <hyperlink ref="C60" r:id="rId39" display="https://fred.stlouisfed.org/series/DSPI" xr:uid="{3BC41A0A-B08C-4165-AC6D-9F04AB8295CC}"/>
    <hyperlink ref="C61" r:id="rId40" display="https://fred.stlouisfed.org/series/A229RX0" xr:uid="{68F140D4-6D46-445D-AF41-3AF82EFE6B16}"/>
    <hyperlink ref="C62" r:id="rId41" display="https://fred.stlouisfed.org/series/PSAVERT" xr:uid="{FFBF0362-CE32-475A-B7EF-49D53B823E08}"/>
    <hyperlink ref="C63" r:id="rId42" display="https://fred.stlouisfed.org/series/PCE" xr:uid="{05FA4F5C-3A06-4C1C-B01E-B905332B61D3}"/>
    <hyperlink ref="C64" r:id="rId43" display="https://fred.stlouisfed.org/series/PCEC96" xr:uid="{DC0122D2-BD32-4284-893C-ED7D702A263F}"/>
    <hyperlink ref="C65" r:id="rId44" display="https://fred.stlouisfed.org/series/MRTSMPCSM44X72USS" xr:uid="{67192B19-9BC3-430B-A7AB-7681BD11C172}"/>
    <hyperlink ref="C66" r:id="rId45" display="https://fred.stlouisfed.org/series/TOTALSL" xr:uid="{946FDEF4-3770-486A-8127-CF17C688967B}"/>
    <hyperlink ref="C67" r:id="rId46" display="https://fred.stlouisfed.org/series/PCEND" xr:uid="{844B8A69-72F0-49FF-A670-C267F861DD3A}"/>
    <hyperlink ref="C68" r:id="rId47" display="https://fred.stlouisfed.org/series/A22BVS" xr:uid="{BC78D670-72EA-4EF8-8AE8-01FF6DEB915D}"/>
    <hyperlink ref="C71" r:id="rId48" display="https://fred.stlouisfed.org/series/M1SL" xr:uid="{DCC370AE-4577-4FA3-81EA-F95EE635045B}"/>
    <hyperlink ref="C72" r:id="rId49" display="https://fred.stlouisfed.org/series/M2SL" xr:uid="{315109B2-98F7-4F6A-8F72-6FE6030B3CD5}"/>
    <hyperlink ref="C74" r:id="rId50" display="https://fred.stlouisfed.org/series/DTB3" xr:uid="{D88F0ED1-9F54-499B-99B7-7D1E861C8818}"/>
    <hyperlink ref="C75" r:id="rId51" display="https://fred.stlouisfed.org/series/DPRIME" xr:uid="{EA9351B9-16ED-44BE-BAB3-46B5C25A5F65}"/>
    <hyperlink ref="C76" r:id="rId52" display="https://fred.stlouisfed.org/series/DGS10" xr:uid="{E49AA917-655A-4CB7-AD22-70EBE87BC86C}"/>
    <hyperlink ref="C79" r:id="rId53" display="https://fred.stlouisfed.org/series/DFII10" xr:uid="{73D90E03-7D34-42B8-9BB1-D9B4EAEC310D}"/>
    <hyperlink ref="C80" r:id="rId54" display="https://fred.stlouisfed.org/series/DGS30" xr:uid="{5291E67A-9C31-4D38-96E8-5D2525E41DB1}"/>
    <hyperlink ref="C82" r:id="rId55" display="https://fred.stlouisfed.org/series/DEXUSEU" xr:uid="{A93269A2-FE6D-4487-AACD-B8009A33E038}"/>
    <hyperlink ref="C83" r:id="rId56" display="https://fred.stlouisfed.org/series/DTWEXBGS" xr:uid="{16151520-8C6C-4BE2-BA96-20782536FF98}"/>
    <hyperlink ref="C87" r:id="rId57" display="https://fred.stlouisfed.org/series/GDPC1" xr:uid="{BAC9E1AE-6994-4003-83B7-2EBFAEB4E1FB}"/>
    <hyperlink ref="C88" r:id="rId58" display="https://fred.stlouisfed.org/series/GDP" xr:uid="{109AA77B-6592-43DD-B57C-45E61E8C5801}"/>
    <hyperlink ref="C89" r:id="rId59" display="https://fred.stlouisfed.org/series/PCEDG" xr:uid="{523A9DB0-361B-4985-9B68-6B04E6C53A90}"/>
    <hyperlink ref="C90" r:id="rId60" display="https://fred.stlouisfed.org/series/PNFIC1" xr:uid="{D97356FB-9426-44B0-BF1A-8CACFCAEF534}"/>
    <hyperlink ref="C91" r:id="rId61" display="https://fred.stlouisfed.org/series/PRFIC1" xr:uid="{DF8A45EE-6298-47F6-8370-91919A5BA162}"/>
    <hyperlink ref="C92" r:id="rId62" display="https://fred.stlouisfed.org/series/CBI" xr:uid="{4AA6FF6A-50F0-4441-BBAD-B049694B39DA}"/>
    <hyperlink ref="C93" r:id="rId63" display="https://fred.stlouisfed.org/series/NETEXC" xr:uid="{F8BB2525-D7A8-4087-8A2F-AA0BFF8FC9E1}"/>
    <hyperlink ref="C94" r:id="rId64" display="https://fred.stlouisfed.org/series/IEABC" xr:uid="{EEC8D28A-E479-40F9-A761-23E45D1A982A}"/>
    <hyperlink ref="C73" r:id="rId65" display="https://fred.stlouisfed.org/series/BOPGSTB" xr:uid="{810CA764-79A9-420F-8D92-996A23F4C588}"/>
    <hyperlink ref="C95" r:id="rId66" display="https://fred.stlouisfed.org/series/GCEC1" xr:uid="{504AF21E-69BB-44C3-8C75-087DB318B779}"/>
    <hyperlink ref="C96" r:id="rId67" display="https://fred.stlouisfed.org/series/EVACANTUSQ176N" xr:uid="{68645A3F-2239-4291-AB41-1954D46337E7}"/>
    <hyperlink ref="C81" r:id="rId68" display="https://fred.stlouisfed.org/series/DTWEXBGS" xr:uid="{8F72E144-31FF-4DCA-ABD7-7D00C0AD7681}"/>
    <hyperlink ref="C78" r:id="rId69" display="https://fred.stlouisfed.org/series/DTWEXBGS" xr:uid="{BF81B9D6-CAA9-440C-B774-6EFF2F7F9EAC}"/>
    <hyperlink ref="C77" r:id="rId70" display="https://fred.stlouisfed.org/series/DGS10" xr:uid="{5583857A-511F-4CD1-8559-FBC4A860845D}"/>
    <hyperlink ref="C51" r:id="rId71" display="https://fred.stlouisfed.org/series/PRAWMINDEXM" xr:uid="{4E8ADABD-F0C7-43F5-A8B0-01FAC8D3B8C9}"/>
    <hyperlink ref="C22" r:id="rId72" display="https://fred.stlouisfed.org/series/PAYEMS" xr:uid="{7E93180E-1C06-4F45-800D-2A5B4B203765}"/>
  </hyperlinks>
  <pageMargins left="0.25" right="0.25" top="0.25" bottom="0.25" header="0.3" footer="0.3"/>
  <pageSetup scale="64" orientation="landscape" r:id="rId73"/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260912 EconSheet</vt:lpstr>
      <vt:lpstr>'260912 EconSheet'!Conditions</vt:lpstr>
      <vt:lpstr>'260912 EconSheet'!DataTable</vt:lpstr>
      <vt:lpstr>'260912 EconSheet'!DataTableStart</vt:lpstr>
      <vt:lpstr>'260912 EconSheet'!DatesAndSeries</vt:lpstr>
      <vt:lpstr>'260912 EconSheet'!DatesCol</vt:lpstr>
      <vt:lpstr>'260912 EconSheet'!ESSeries</vt:lpstr>
      <vt:lpstr>'260912 EconSheet'!FormatTable</vt:lpstr>
      <vt:lpstr>'260912 EconSheet'!Print_Area</vt:lpstr>
      <vt:lpstr>'260912 EconSheet'!SpFormat1</vt:lpstr>
      <vt:lpstr>'260912 EconSheet'!SpFormat2</vt:lpstr>
      <vt:lpstr>'260912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2026-09-12T11:35:27Z</dcterms:created>
  <dcterms:modified xsi:type="dcterms:W3CDTF">2026-09-12T11:35:29Z</dcterms:modified>
</cp:coreProperties>
</file>