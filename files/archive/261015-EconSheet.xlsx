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CD806712-3D06-4078-8015-90D422AA8E9A}" xr6:coauthVersionLast="47" xr6:coauthVersionMax="47" xr10:uidLastSave="{00000000-0000-0000-0000-000000000000}"/>
  <bookViews>
    <workbookView xWindow="-28920" yWindow="5295" windowWidth="29040" windowHeight="15720" xr2:uid="{0AFC93D1-2EB9-43FD-BE55-A1659D96EA6D}"/>
  </bookViews>
  <sheets>
    <sheet name="261015 EconSheet" sheetId="1" r:id="rId1"/>
  </sheets>
  <externalReferences>
    <externalReference r:id="rId2"/>
  </externalReferences>
  <definedNames>
    <definedName name="_xlnm._FilterDatabase" localSheetId="0" hidden="1">'261015 EconSheet'!$A$28:$AF$33</definedName>
    <definedName name="Conditions" localSheetId="0">'261015 EconSheet'!$AH$3:$AH$96</definedName>
    <definedName name="CurrDates">[1]Currencies!$A$8:$A$14337</definedName>
    <definedName name="DataStart">'[1]Retrieved Data'!$A$1</definedName>
    <definedName name="DataTable" localSheetId="0">'261015 EconSheet'!$G$4:$AD$96</definedName>
    <definedName name="DataTableStart" localSheetId="0">'261015 EconSheet'!$G$4</definedName>
    <definedName name="DatesAndSeries" localSheetId="0">'261015 EconSheet'!$E$4:$F$96</definedName>
    <definedName name="DatesAndSeries">[1]EconSheet!$E$4:$F$96</definedName>
    <definedName name="DatesCol" localSheetId="0">'261015 EconSheet'!$E$4:$E$96</definedName>
    <definedName name="DatesCol">[1]EconSheet!$E$4:$E$96</definedName>
    <definedName name="ESSeries" localSheetId="0">'261015 EconSheet'!$B$4:$B$103</definedName>
    <definedName name="ForceAll" localSheetId="0">'261015 EconSheet'!#REF!</definedName>
    <definedName name="FormatOptions">[1]Calculations!$U$3:$U$14</definedName>
    <definedName name="FormatTable" localSheetId="0">'261015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'261015 EconSheet'!$F$1:$AD$54,'261015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'261015 EconSheet'!$AH$131</definedName>
    <definedName name="SpFormat2" localSheetId="0">'261015 EconSheet'!$AH$136</definedName>
    <definedName name="TrueFalse" localSheetId="0">'261015 EconSheet'!#REF!</definedName>
    <definedName name="TrueFalse">[1]EconSheet!$AU$1:$AU$2</definedName>
    <definedName name="WholeTable" localSheetId="0">'261015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D42" authorId="0" shapeId="0" xr:uid="{4AE5D1B4-1B5F-423B-B86F-2013EC0A88C8}">
      <text>
        <r>
          <rPr>
            <sz val="9"/>
            <color indexed="81"/>
            <rFont val="Tahoma"/>
            <family val="2"/>
          </rPr>
          <t>New Value</t>
        </r>
      </text>
    </comment>
    <comment ref="AD43" authorId="0" shapeId="0" xr:uid="{12674E6F-628F-4207-BB1C-6FB294A48C89}">
      <text>
        <r>
          <rPr>
            <sz val="9"/>
            <color indexed="81"/>
            <rFont val="Tahoma"/>
            <family val="2"/>
          </rPr>
          <t>New Value</t>
        </r>
      </text>
    </comment>
    <comment ref="AD45" authorId="0" shapeId="0" xr:uid="{FB9E791C-7FD0-4AD2-96FB-5382E7D7349D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<sst xmlns="http://schemas.openxmlformats.org/spreadsheetml/2006/main" count="418" uniqueCount="191">
  <si>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</si>
  <si>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</si>
  <si>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</si>
  <si>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</si>
  <si>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</si>
  <si>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</si>
  <si>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</si>
  <si>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</si>
  <si>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</si>
  <si>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</si>
  <si>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</si>
  <si>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</si>
  <si>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</si>
  <si>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</si>
  <si>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</si>
  <si>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</si>
  <si>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</si>
  <si>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</si>
  <si>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</si>
  <si>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</si>
  <si>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</si>
  <si>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</si>
  <si>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</si>
  <si>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</si>
  <si>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</si>
  <si>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</si>
  <si>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</si>
  <si>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</si>
  <si>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</si>
  <si>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</si>
  <si>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</si>
  <si>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</si>
  <si>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</si>
  <si>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</si>
  <si>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</si>
  <si>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</si>
  <si>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</si>
  <si>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</si>
  <si>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</si>
  <si>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</si>
  <si>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</si>
  <si>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</si>
  <si>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</si>
  <si>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</si>
  <si>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</si>
  <si>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</si>
  <si>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</si>
  <si>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</si>
  <si>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</si>
  <si>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</si>
  <si>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</si>
  <si>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</si>
  <si>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</si>
  <si>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</si>
  <si>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</si>
  <si>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</si>
  <si>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</si>
  <si>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</si>
  <si>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</si>
  <si>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</si>
  <si>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</si>
  <si>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</si>
  <si>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</si>
  <si>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</si>
  <si>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</si>
  <si>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</si>
  <si>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</si>
  <si>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</si>
  <si>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</si>
  <si>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</si>
  <si>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</si>
  <si>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</si>
  <si>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</si>
  <si>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</si>
  <si>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</si>
  <si>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</si>
  <si>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</si>
  <si>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</si>
  <si>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</si>
  <si>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</si>
  <si>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</si>
  <si>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</si>
  <si>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</si>
  <si>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</si>
  <si>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</si>
  <si>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</si>
  <si>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</si>
  <si>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</si>
  <si>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</si>
  <si>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</si>
  <si>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</si>
  <si>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</si>
  <si>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</si>
  <si>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</si>
  <si>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</si>
  <si>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</si>
  <si>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</si>
  <si>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</si>
  <si>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</si>
  <si>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</si>
  <si>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</si>
  <si>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</si>
  <si>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</si>
  <si>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</si>
  <si>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</si>
  <si>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</si>
  <si>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</si>
  <si>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</si>
  <si>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</si>
  <si>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</si>
  <si>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</si>
  <si>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</si>
  <si>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</si>
  <si>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</si>
  <si>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</si>
  <si>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</si>
  <si>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</si>
  <si>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</si>
  <si>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</si>
  <si>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</si>
  <si>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</si>
  <si>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</si>
  <si>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</si>
  <si>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</si>
  <si>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</si>
  <si>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</si>
  <si>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</si>
  <si>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</si>
  <si>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</si>
  <si>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</si>
  <si>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</si>
  <si>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</si>
  <si>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</si>
  <si>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</si>
  <si>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</si>
  <si>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</si>
  <si>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</si>
  <si>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</si>
  <si>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</si>
  <si>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</si>
  <si>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</si>
  <si>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</si>
  <si>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</si>
  <si>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</si>
  <si>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</si>
  <si>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</si>
  <si>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</si>
  <si>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</si>
  <si>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</si>
  <si>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</si>
  <si>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</si>
  <si>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</si>
  <si>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</si>
  <si>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</si>
  <si>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</si>
  <si>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</si>
  <si>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</si>
  <si>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</si>
  <si>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</si>
  <si>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</si>
  <si>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</si>
  <si>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</si>
  <si>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</si>
  <si>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</si>
  <si>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</si>
  <si>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</si>
  <si>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</si>
  <si>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</si>
  <si>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</si>
  <si>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</si>
  <si>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</si>
  <si>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</si>
  <si>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</si>
  <si>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</si>
  <si>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</si>
  <si>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</si>
  <si>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</si>
  <si>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</si>
  <si>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</si>
  <si>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</si>
  <si>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</si>
  <si>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</si>
  <si>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</si>
  <si>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</si>
  <si>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</si>
  <si>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</si>
  <si>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10/15/26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</si>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</sst>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3" borderId="3" xfId="1" applyNumberFormat="1" applyFont="1" applyFill="1" applyBorder="1"/>
    <xf numFmtId="165" fontId="4" fillId="3" borderId="1" xfId="1" applyNumberFormat="1" applyFont="1" applyFill="1" applyBorder="1"/>
    <xf numFmtId="165" fontId="4" fillId="4" borderId="4" xfId="1" applyNumberFormat="1" applyFont="1" applyFill="1" applyBorder="1"/>
    <xf numFmtId="0" fontId="3" fillId="2" borderId="0" xfId="1" applyFill="1" applyAlignment="1">
      <alignment horizontal="center"/>
    </xf>
    <xf numFmtId="1" fontId="4" fillId="3" borderId="0" xfId="1" applyNumberFormat="1" applyFont="1" applyFill="1"/>
    <xf numFmtId="1" fontId="4" fillId="4" borderId="0" xfId="1" applyNumberFormat="1" applyFont="1" applyFill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0FD409DF-9518-4606-9E86-0965EEF01158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B18524DF-E19E-490F-BDC0-0A4874637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90AE3F45-D422-4FBE-A976-CF156A367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46310.501759259263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46336.380891203706</v>
          </cell>
          <cell r="F42" t="str">
            <v>Consumer Price Index (% Δ YoY)</v>
          </cell>
        </row>
        <row r="43">
          <cell r="E43">
            <v>46336.380891203706</v>
          </cell>
          <cell r="F43" t="str">
            <v>Food (% Δ YoY)</v>
          </cell>
        </row>
        <row r="44">
          <cell r="E44">
            <v>46336.380891203706</v>
          </cell>
          <cell r="F44" t="str">
            <v>Energy (% Δ YoY)</v>
          </cell>
        </row>
        <row r="45">
          <cell r="E45">
            <v>46336.380891203706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46327.618888888886</v>
          </cell>
          <cell r="F51" t="str">
            <v>Ag Raw Materials (% Δ YoY)</v>
          </cell>
        </row>
        <row r="52">
          <cell r="E52">
            <v>46310.553749999992</v>
          </cell>
          <cell r="F52" t="str">
            <v>Crude Oil WTI Cushing - Spot USD/BBL Last day of Month</v>
          </cell>
        </row>
        <row r="53">
          <cell r="E53">
            <v>46310.553738425922</v>
          </cell>
          <cell r="F53" t="str">
            <v>Crude Oil Brent - Spot USD/BBL Last day of Month</v>
          </cell>
        </row>
        <row r="54">
          <cell r="E54">
            <v>46310.564166666663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46332.626006944454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46311.678611111114</v>
          </cell>
          <cell r="F74" t="str">
            <v>3-Month Treasury Bills, Secondary market (%)</v>
          </cell>
        </row>
        <row r="75">
          <cell r="E75">
            <v>46311.678460648138</v>
          </cell>
          <cell r="F75" t="str">
            <v>Bank Prime Rate (%)</v>
          </cell>
        </row>
        <row r="76">
          <cell r="E76">
            <v>46311.678576388891</v>
          </cell>
          <cell r="F76" t="str">
            <v>2-yr. Treasury Bond Yield at Constant Maturity (%)</v>
          </cell>
        </row>
        <row r="77">
          <cell r="E77">
            <v>46311.678483796306</v>
          </cell>
          <cell r="F77" t="str">
            <v>10-yr. Treasury Bond Yield at Constant Maturity (%)</v>
          </cell>
        </row>
        <row r="78">
          <cell r="E78">
            <v>46311.710868055554</v>
          </cell>
          <cell r="F78" t="str">
            <v>10 Yr - 2 Yr Treasury Spread - Const Maturity %</v>
          </cell>
        </row>
        <row r="79">
          <cell r="E79">
            <v>46311.678437499999</v>
          </cell>
          <cell r="F79" t="str">
            <v>10-yr. Treasury Bond Yield at Const. Mat. Inflation Indexed (%)</v>
          </cell>
        </row>
        <row r="80">
          <cell r="E80">
            <v>46311.678587962961</v>
          </cell>
          <cell r="F80" t="str">
            <v>30-yr. Treasury Bond Yield at Constant Maturity (%)</v>
          </cell>
        </row>
        <row r="81">
          <cell r="E81">
            <v>46311.710844907415</v>
          </cell>
          <cell r="F81" t="str">
            <v>10 Yr - 3 Month Treasury Spread - Const Maturity %</v>
          </cell>
        </row>
        <row r="82">
          <cell r="E82">
            <v>46314.678506944445</v>
          </cell>
          <cell r="F82" t="str">
            <v>USD/EUR Exchange Rate - Last Day of Month</v>
          </cell>
        </row>
        <row r="83">
          <cell r="E83">
            <v>46314.67859953703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1</v>
          </cell>
          <cell r="D177">
            <v>0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1</v>
          </cell>
          <cell r="D1172">
            <v>0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1</v>
          </cell>
          <cell r="D1827">
            <v>0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1</v>
          </cell>
          <cell r="D1828">
            <v>0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1</v>
          </cell>
          <cell r="D1829">
            <v>0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1</v>
          </cell>
          <cell r="D1830">
            <v>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6542-9572-4EB5-BC42-710A3C09049A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0" customFormat="1" ht="15.75" x14ac:dyDescent="0.25">
      <c r="A1" s="72"/>
      <c r="B1" s="72"/>
      <c r="C1" s="72"/>
      <c r="D1" s="37"/>
      <c r="E1" s="37"/>
      <c r="F1" s="72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0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1">
        <v>45566</v>
      </c>
      <c r="H2" s="71">
        <v>45597</v>
      </c>
      <c r="I2" s="71">
        <v>45627</v>
      </c>
      <c r="J2" s="71">
        <v>45658</v>
      </c>
      <c r="K2" s="71">
        <v>45689</v>
      </c>
      <c r="L2" s="71">
        <v>45717</v>
      </c>
      <c r="M2" s="71">
        <v>45748</v>
      </c>
      <c r="N2" s="71">
        <v>45778</v>
      </c>
      <c r="O2" s="71">
        <v>45809</v>
      </c>
      <c r="P2" s="71">
        <v>45839</v>
      </c>
      <c r="Q2" s="71">
        <v>45870</v>
      </c>
      <c r="R2" s="71">
        <v>45901</v>
      </c>
      <c r="S2" s="71">
        <v>45931</v>
      </c>
      <c r="T2" s="71">
        <v>45962</v>
      </c>
      <c r="U2" s="71">
        <v>45992</v>
      </c>
      <c r="V2" s="71">
        <v>46023</v>
      </c>
      <c r="W2" s="71">
        <v>46054</v>
      </c>
      <c r="X2" s="71">
        <v>46082</v>
      </c>
      <c r="Y2" s="71">
        <v>46113</v>
      </c>
      <c r="Z2" s="71">
        <v>46143</v>
      </c>
      <c r="AA2" s="71">
        <v>46174</v>
      </c>
      <c r="AB2" s="71">
        <v>46204</v>
      </c>
      <c r="AC2" s="71">
        <v>46235</v>
      </c>
      <c r="AD2" s="71">
        <v>46266</v>
      </c>
      <c r="AH2" s="70" t="s">
        <v>185</v>
      </c>
    </row>
    <row r="3" spans="1:34" ht="15.75" x14ac:dyDescent="0.25">
      <c r="A3" s="10"/>
      <c r="B3" s="10" t="s">
        <v>184</v>
      </c>
      <c r="C3" s="10"/>
      <c r="D3" s="69">
        <v>46309.380891203706</v>
      </c>
      <c r="E3" s="68">
        <v>46310.418414351851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8">
        <v>46328.429432870369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0.9</v>
      </c>
      <c r="AB4" s="7">
        <v>-0.1</v>
      </c>
      <c r="AC4" s="28">
        <v>0.9</v>
      </c>
      <c r="AD4" s="7" t="e">
        <v>#N/A</v>
      </c>
      <c r="AE4" s="67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8">
        <v>46328.4294212963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7">
        <v>-2.1626500000000002</v>
      </c>
      <c r="Z5" s="7">
        <v>-0.19738</v>
      </c>
      <c r="AA5" s="7">
        <v>1.03593</v>
      </c>
      <c r="AB5" s="7">
        <v>-0.20019000000000001</v>
      </c>
      <c r="AC5" s="28">
        <v>1.0743199999999999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4">
        <v>-3.8704800000000001</v>
      </c>
      <c r="Z6" s="4">
        <v>-0.77886999999999995</v>
      </c>
      <c r="AA6" s="4">
        <v>0.79468000000000005</v>
      </c>
      <c r="AB6" s="4">
        <v>-1.04358</v>
      </c>
      <c r="AC6" s="29">
        <v>1.0849800000000001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7">
        <v>7.5060000000000002E-2</v>
      </c>
      <c r="AB7" s="7">
        <v>-9.6060000000000006E-2</v>
      </c>
      <c r="AC7" s="28">
        <v>0.24168999999999999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8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0">
        <v>46315.35601851852</v>
      </c>
      <c r="F9" s="45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7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5">
        <v>1256</v>
      </c>
      <c r="AB11" s="65">
        <v>1267</v>
      </c>
      <c r="AC11" s="65">
        <v>1271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5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60">
        <v>-2.0935100000000002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46303.501759259256</v>
      </c>
      <c r="E13" s="52">
        <v>46310.501759259263</v>
      </c>
      <c r="F13" s="42" t="s">
        <v>162</v>
      </c>
      <c r="G13" s="41" t="e">
        <v>#N/A</v>
      </c>
      <c r="H13" s="46">
        <v>6.81</v>
      </c>
      <c r="I13" s="46">
        <v>6.72</v>
      </c>
      <c r="J13" s="46">
        <v>6.96</v>
      </c>
      <c r="K13" s="46">
        <v>6.84</v>
      </c>
      <c r="L13" s="46">
        <v>6.65</v>
      </c>
      <c r="M13" s="46">
        <v>6.73</v>
      </c>
      <c r="N13" s="46">
        <v>6.82</v>
      </c>
      <c r="O13" s="46">
        <v>6.82</v>
      </c>
      <c r="P13" s="46">
        <v>6.72</v>
      </c>
      <c r="Q13" s="46">
        <v>6.59</v>
      </c>
      <c r="R13" s="46">
        <v>6.35</v>
      </c>
      <c r="S13" s="46">
        <v>6.25</v>
      </c>
      <c r="T13" s="46">
        <v>6.24</v>
      </c>
      <c r="U13" s="46">
        <v>6.19</v>
      </c>
      <c r="V13" s="46">
        <v>6.1</v>
      </c>
      <c r="W13" s="46">
        <v>6.05</v>
      </c>
      <c r="X13" s="46">
        <v>6.18</v>
      </c>
      <c r="Y13" s="46">
        <v>6.33</v>
      </c>
      <c r="Z13" s="46">
        <v>6.44</v>
      </c>
      <c r="AA13" s="46">
        <v>6.49</v>
      </c>
      <c r="AB13" s="46">
        <v>6.54</v>
      </c>
      <c r="AC13" s="46">
        <v>6.67</v>
      </c>
      <c r="AD13" s="46">
        <v>6.86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6"/>
      <c r="W14" s="66"/>
      <c r="X14" s="66"/>
      <c r="Y14" s="66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8">
        <v>46324.38717592592</v>
      </c>
      <c r="F16" s="1" t="s">
        <v>159</v>
      </c>
      <c r="G16" s="7">
        <v>16.149999999999999</v>
      </c>
      <c r="H16" s="7">
        <v>16.523</v>
      </c>
      <c r="I16" s="7">
        <v>16.812000000000001</v>
      </c>
      <c r="J16" s="7">
        <v>15.845000000000001</v>
      </c>
      <c r="K16" s="7">
        <v>16.027999999999999</v>
      </c>
      <c r="L16" s="7">
        <v>17.731999999999999</v>
      </c>
      <c r="M16" s="7">
        <v>17.068999999999999</v>
      </c>
      <c r="N16" s="7">
        <v>15.71</v>
      </c>
      <c r="O16" s="7">
        <v>15.885999999999999</v>
      </c>
      <c r="P16" s="7">
        <v>16.425000000000001</v>
      </c>
      <c r="Q16" s="7">
        <v>16.344999999999999</v>
      </c>
      <c r="R16" s="7">
        <v>16.574000000000002</v>
      </c>
      <c r="S16" s="7">
        <v>15.679</v>
      </c>
      <c r="T16" s="7">
        <v>15.808999999999999</v>
      </c>
      <c r="U16" s="7">
        <v>16.009</v>
      </c>
      <c r="V16" s="7">
        <v>14.96</v>
      </c>
      <c r="W16" s="7">
        <v>15.551</v>
      </c>
      <c r="X16" s="7">
        <v>16.074000000000002</v>
      </c>
      <c r="Y16" s="7">
        <v>16.164999999999999</v>
      </c>
      <c r="Z16" s="7">
        <v>16.437999999999999</v>
      </c>
      <c r="AA16" s="7">
        <v>16.760000000000002</v>
      </c>
      <c r="AB16" s="7">
        <v>16.146000000000001</v>
      </c>
      <c r="AC16" s="28">
        <v>16.568999999999999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1">
        <v>1.2889999999999999</v>
      </c>
      <c r="H17" s="41">
        <v>1.294</v>
      </c>
      <c r="I17" s="41">
        <v>1.371</v>
      </c>
      <c r="J17" s="41">
        <v>1.3939999999999999</v>
      </c>
      <c r="K17" s="41">
        <v>1.2749999999999999</v>
      </c>
      <c r="L17" s="41">
        <v>1.1319999999999999</v>
      </c>
      <c r="M17" s="41">
        <v>1.232</v>
      </c>
      <c r="N17" s="41">
        <v>1.345</v>
      </c>
      <c r="O17" s="41">
        <v>1.361</v>
      </c>
      <c r="P17" s="41">
        <v>1.4159999999999999</v>
      </c>
      <c r="Q17" s="41">
        <v>1.4930000000000001</v>
      </c>
      <c r="R17" s="41">
        <v>1.4610000000000001</v>
      </c>
      <c r="S17" s="41">
        <v>1.5069999999999999</v>
      </c>
      <c r="T17" s="41">
        <v>1.4590000000000001</v>
      </c>
      <c r="U17" s="41">
        <v>1.2849999999999999</v>
      </c>
      <c r="V17" s="41">
        <v>1.3660000000000001</v>
      </c>
      <c r="W17" s="41">
        <v>1.373</v>
      </c>
      <c r="X17" s="41">
        <v>1.496</v>
      </c>
      <c r="Y17" s="41">
        <v>1.3959999999999999</v>
      </c>
      <c r="Z17" s="41">
        <v>1.2889999999999999</v>
      </c>
      <c r="AA17" s="41">
        <v>1.202</v>
      </c>
      <c r="AB17" s="41">
        <v>1.18</v>
      </c>
      <c r="AC17" s="51">
        <v>1.242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2.0750000000000002</v>
      </c>
      <c r="H18" s="4">
        <v>2.044</v>
      </c>
      <c r="I18" s="4">
        <v>1.885</v>
      </c>
      <c r="J18" s="4">
        <v>1.859</v>
      </c>
      <c r="K18" s="4">
        <v>1.9670000000000001</v>
      </c>
      <c r="L18" s="4">
        <v>2.077</v>
      </c>
      <c r="M18" s="4">
        <v>1.8979999999999999</v>
      </c>
      <c r="N18" s="4">
        <v>1.7509999999999999</v>
      </c>
      <c r="O18" s="4">
        <v>1.774</v>
      </c>
      <c r="P18" s="4">
        <v>1.7549999999999999</v>
      </c>
      <c r="Q18" s="4">
        <v>1.7869999999999999</v>
      </c>
      <c r="R18" s="4">
        <v>1.696</v>
      </c>
      <c r="S18" s="4">
        <v>1.6639999999999999</v>
      </c>
      <c r="T18" s="4">
        <v>1.6379999999999999</v>
      </c>
      <c r="U18" s="4">
        <v>1.788</v>
      </c>
      <c r="V18" s="4">
        <v>1.6339999999999999</v>
      </c>
      <c r="W18" s="4">
        <v>1.6859999999999999</v>
      </c>
      <c r="X18" s="4">
        <v>1.665</v>
      </c>
      <c r="Y18" s="4">
        <v>1.804</v>
      </c>
      <c r="Z18" s="4">
        <v>1.86</v>
      </c>
      <c r="AA18" s="4">
        <v>1.867</v>
      </c>
      <c r="AB18" s="60">
        <v>1.837</v>
      </c>
      <c r="AC18" s="60">
        <v>1.8080000000000001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95.370999999999995</v>
      </c>
      <c r="W19" s="7">
        <v>94.852999999999994</v>
      </c>
      <c r="X19" s="7">
        <v>105.556</v>
      </c>
      <c r="Y19" s="7">
        <v>105.16800000000001</v>
      </c>
      <c r="Z19" s="7">
        <v>106.898</v>
      </c>
      <c r="AA19" s="7">
        <v>108.247</v>
      </c>
      <c r="AB19" s="54">
        <v>100.72499999999999</v>
      </c>
      <c r="AC19" s="54">
        <v>94.197000000000003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8">
        <v>46332.392048611102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13">
        <v>214</v>
      </c>
      <c r="Y22" s="13">
        <v>148</v>
      </c>
      <c r="Z22" s="13">
        <v>63</v>
      </c>
      <c r="AA22" s="13">
        <v>31</v>
      </c>
      <c r="AB22" s="13">
        <v>-10</v>
      </c>
      <c r="AC22" s="65">
        <v>133</v>
      </c>
      <c r="AD22" s="64">
        <v>29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8">
        <v>46332.39207175927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3">
        <v>78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4">
        <v>4.3</v>
      </c>
      <c r="Y24" s="4">
        <v>4.3</v>
      </c>
      <c r="Z24" s="4">
        <v>4.3</v>
      </c>
      <c r="AA24" s="4">
        <v>4.2</v>
      </c>
      <c r="AB24" s="4">
        <v>4.0999999999999996</v>
      </c>
      <c r="AC24" s="60">
        <v>4.0999999999999996</v>
      </c>
      <c r="AD24" s="60">
        <v>4.2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8">
        <v>46332.393252314825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28">
        <v>0.28566999999999998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48">
        <v>46311.38898148149</v>
      </c>
      <c r="F29" s="47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48">
        <v>46311.387928240743</v>
      </c>
      <c r="F30" s="47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4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0.76727000000000001</v>
      </c>
      <c r="AC31" s="29">
        <v>9.8669999999999994E-2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7">
        <v>0.86992000000000003</v>
      </c>
      <c r="AC32" s="54">
        <v>-7.145E-2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1.42343</v>
      </c>
      <c r="AC33" s="28">
        <v>0.53724000000000005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0.1216</v>
      </c>
      <c r="AB36" s="54">
        <v>0.80855999999999995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60">
        <v>0.8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4">
        <v>0.36033999999999999</v>
      </c>
      <c r="AC39" s="54">
        <v>0.38933000000000001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H40" t="s">
        <v>34</v>
      </c>
    </row>
    <row r="41" spans="1:34" ht="16.5" thickBot="1" x14ac:dyDescent="0.3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36"/>
      <c r="AH41" t="s">
        <v>32</v>
      </c>
    </row>
    <row r="42" spans="1:34" ht="17.25" thickTop="1" thickBot="1" x14ac:dyDescent="0.3">
      <c r="A42" s="1">
        <v>25</v>
      </c>
      <c r="B42" s="1" t="s">
        <v>118</v>
      </c>
      <c r="C42" s="16" t="s">
        <v>103</v>
      </c>
      <c r="D42" s="24">
        <v>46309.380891203706</v>
      </c>
      <c r="E42" s="23">
        <v>46336.380891203706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59">
        <v>3.7172499999999999</v>
      </c>
      <c r="AH42" t="s">
        <v>110</v>
      </c>
    </row>
    <row r="43" spans="1:34" ht="17.25" thickTop="1" thickBot="1" x14ac:dyDescent="0.3">
      <c r="A43" s="1">
        <v>23</v>
      </c>
      <c r="B43" s="1" t="s">
        <v>116</v>
      </c>
      <c r="C43" s="16" t="s">
        <v>103</v>
      </c>
      <c r="D43" s="24">
        <v>46309.380891203706</v>
      </c>
      <c r="E43" s="23">
        <v>46336.380891203706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7">
        <v>2.5808499999999999</v>
      </c>
      <c r="U43" s="7">
        <v>2.9889899999999998</v>
      </c>
      <c r="V43" s="7">
        <v>2.8765000000000001</v>
      </c>
      <c r="W43" s="7">
        <v>3.0527899999999999</v>
      </c>
      <c r="X43" s="7">
        <v>2.6852800000000001</v>
      </c>
      <c r="Y43" s="7">
        <v>3.1423999999999999</v>
      </c>
      <c r="Z43" s="7">
        <v>3.02291</v>
      </c>
      <c r="AA43" s="7">
        <v>2.9311199999999999</v>
      </c>
      <c r="AB43" s="7">
        <v>2.8907099999999999</v>
      </c>
      <c r="AC43" s="7">
        <v>2.5751400000000002</v>
      </c>
      <c r="AD43" s="61">
        <v>2.39337</v>
      </c>
      <c r="AH43" t="s">
        <v>110</v>
      </c>
    </row>
    <row r="44" spans="1:34" ht="17.25" thickTop="1" thickBot="1" x14ac:dyDescent="0.3">
      <c r="A44" s="6">
        <v>21</v>
      </c>
      <c r="B44" s="6" t="s">
        <v>114</v>
      </c>
      <c r="C44" s="22" t="s">
        <v>103</v>
      </c>
      <c r="D44" s="21">
        <v>46309.380891203706</v>
      </c>
      <c r="E44" s="20">
        <v>46336.380891203706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60">
        <v>0.39950999999999998</v>
      </c>
      <c r="X44" s="60">
        <v>12.589549999999999</v>
      </c>
      <c r="Y44" s="60">
        <v>17.536049999999999</v>
      </c>
      <c r="Z44" s="60">
        <v>22.97287</v>
      </c>
      <c r="AA44" s="60">
        <v>15.451370000000001</v>
      </c>
      <c r="AB44" s="60">
        <v>14.44533</v>
      </c>
      <c r="AC44" s="60">
        <v>16.04935</v>
      </c>
      <c r="AD44" s="54">
        <v>20.354109999999999</v>
      </c>
      <c r="AH44" t="s">
        <v>18</v>
      </c>
    </row>
    <row r="45" spans="1:34" ht="17.25" thickTop="1" thickBot="1" x14ac:dyDescent="0.3">
      <c r="A45" s="1">
        <v>27</v>
      </c>
      <c r="B45" s="1" t="s">
        <v>112</v>
      </c>
      <c r="C45" s="16" t="s">
        <v>103</v>
      </c>
      <c r="D45" s="24">
        <v>46309.380891203706</v>
      </c>
      <c r="E45" s="23">
        <v>46336.380891203706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7">
        <v>2.46652</v>
      </c>
      <c r="AC45" s="7">
        <v>2.4461599999999999</v>
      </c>
      <c r="AD45" s="59">
        <v>2.5658400000000001</v>
      </c>
      <c r="AH45" t="s">
        <v>110</v>
      </c>
    </row>
    <row r="46" spans="1:34" ht="16.5" thickTop="1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48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0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5.75" x14ac:dyDescent="0.25">
      <c r="A51" s="47">
        <v>115</v>
      </c>
      <c r="B51" s="47" t="s">
        <v>101</v>
      </c>
      <c r="C51" s="16" t="s">
        <v>100</v>
      </c>
      <c r="D51" s="24">
        <v>46251.618888888886</v>
      </c>
      <c r="E51" s="48">
        <v>46327.618888888886</v>
      </c>
      <c r="F51" s="47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46302.553749999999</v>
      </c>
      <c r="E52" s="14">
        <v>46310.553749999992</v>
      </c>
      <c r="F52" s="25" t="s">
        <v>97</v>
      </c>
      <c r="G52" s="41" t="e">
        <v>#N/A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51">
        <v>83.9</v>
      </c>
      <c r="AD52" s="51">
        <v>97.31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46302.553738425922</v>
      </c>
      <c r="E53" s="20">
        <v>46310.553738425922</v>
      </c>
      <c r="F53" s="6" t="s">
        <v>95</v>
      </c>
      <c r="G53" s="44" t="e">
        <v>#N/A</v>
      </c>
      <c r="H53" s="44">
        <v>74.349999999999994</v>
      </c>
      <c r="I53" s="44">
        <v>73.86</v>
      </c>
      <c r="J53" s="44">
        <v>79.27</v>
      </c>
      <c r="K53" s="44">
        <v>75.44</v>
      </c>
      <c r="L53" s="44">
        <v>72.73</v>
      </c>
      <c r="M53" s="44">
        <v>68.13</v>
      </c>
      <c r="N53" s="44">
        <v>64.45</v>
      </c>
      <c r="O53" s="44">
        <v>71.44</v>
      </c>
      <c r="P53" s="44">
        <v>71.040000000000006</v>
      </c>
      <c r="Q53" s="44">
        <v>67.87</v>
      </c>
      <c r="R53" s="44">
        <v>67.989999999999995</v>
      </c>
      <c r="S53" s="44">
        <v>64.540000000000006</v>
      </c>
      <c r="T53" s="44">
        <v>63.8</v>
      </c>
      <c r="U53" s="44">
        <v>62.54</v>
      </c>
      <c r="V53" s="44">
        <v>66.599999999999994</v>
      </c>
      <c r="W53" s="44">
        <v>70.89</v>
      </c>
      <c r="X53" s="44">
        <v>103.13</v>
      </c>
      <c r="Y53" s="44">
        <v>117.29</v>
      </c>
      <c r="Z53" s="44">
        <v>107.14</v>
      </c>
      <c r="AA53" s="44">
        <v>85.4</v>
      </c>
      <c r="AB53" s="44">
        <v>83.76</v>
      </c>
      <c r="AC53" s="58">
        <v>91.08</v>
      </c>
      <c r="AD53" s="58">
        <v>114.16</v>
      </c>
      <c r="AH53" t="s">
        <v>6</v>
      </c>
    </row>
    <row r="54" spans="1:34" ht="15.75" x14ac:dyDescent="0.25">
      <c r="A54" s="57">
        <v>117</v>
      </c>
      <c r="B54" s="57" t="s">
        <v>94</v>
      </c>
      <c r="C54" s="16" t="s">
        <v>93</v>
      </c>
      <c r="D54" s="24">
        <v>46302.564166666663</v>
      </c>
      <c r="E54" s="23">
        <v>46310.564166666663</v>
      </c>
      <c r="F54" s="57" t="s">
        <v>92</v>
      </c>
      <c r="G54" s="41" t="e">
        <v>#N/A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1">
        <v>2.89</v>
      </c>
      <c r="AC54" s="41">
        <v>2.79</v>
      </c>
      <c r="AD54" s="51">
        <v>2.95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>
        <v>2025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>
        <v>2026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5">
        <v>45566</v>
      </c>
      <c r="H57" s="55">
        <v>45597</v>
      </c>
      <c r="I57" s="55">
        <v>45627</v>
      </c>
      <c r="J57" s="55">
        <v>45658</v>
      </c>
      <c r="K57" s="55">
        <v>45689</v>
      </c>
      <c r="L57" s="55">
        <v>45717</v>
      </c>
      <c r="M57" s="55">
        <v>45748</v>
      </c>
      <c r="N57" s="55">
        <v>45778</v>
      </c>
      <c r="O57" s="55">
        <v>45809</v>
      </c>
      <c r="P57" s="55">
        <v>45839</v>
      </c>
      <c r="Q57" s="55">
        <v>45870</v>
      </c>
      <c r="R57" s="55">
        <v>45901</v>
      </c>
      <c r="S57" s="55">
        <v>45931</v>
      </c>
      <c r="T57" s="55">
        <v>45962</v>
      </c>
      <c r="U57" s="55">
        <v>45992</v>
      </c>
      <c r="V57" s="55">
        <v>46023</v>
      </c>
      <c r="W57" s="55">
        <v>46054</v>
      </c>
      <c r="X57" s="55">
        <v>46082</v>
      </c>
      <c r="Y57" s="55">
        <v>46113</v>
      </c>
      <c r="Z57" s="55">
        <v>46143</v>
      </c>
      <c r="AA57" s="55">
        <v>46174</v>
      </c>
      <c r="AB57" s="55">
        <v>46204</v>
      </c>
      <c r="AC57" s="55">
        <v>46235</v>
      </c>
      <c r="AD57" s="55">
        <v>46266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0.43953999999999999</v>
      </c>
      <c r="H58" s="28">
        <v>0.51307000000000003</v>
      </c>
      <c r="I58" s="28">
        <v>0.35399999999999998</v>
      </c>
      <c r="J58" s="28">
        <v>0.18267</v>
      </c>
      <c r="K58" s="28">
        <v>0.48179</v>
      </c>
      <c r="L58" s="28">
        <v>0.60070999999999997</v>
      </c>
      <c r="M58" s="28">
        <v>0.14072999999999999</v>
      </c>
      <c r="N58" s="28">
        <v>0.26552999999999999</v>
      </c>
      <c r="O58" s="28">
        <v>0.10841000000000001</v>
      </c>
      <c r="P58" s="28">
        <v>0.58401000000000003</v>
      </c>
      <c r="Q58" s="28">
        <v>0.28070000000000001</v>
      </c>
      <c r="R58" s="28">
        <v>0.31212000000000001</v>
      </c>
      <c r="S58" s="28">
        <v>0.33026</v>
      </c>
      <c r="T58" s="28">
        <v>0.44423000000000001</v>
      </c>
      <c r="U58" s="28">
        <v>9.4070000000000001E-2</v>
      </c>
      <c r="V58" s="28">
        <v>0.59570000000000001</v>
      </c>
      <c r="W58" s="28">
        <v>0.41888999999999998</v>
      </c>
      <c r="X58" s="28">
        <v>0.56420000000000003</v>
      </c>
      <c r="Y58" s="28">
        <v>0.28947000000000001</v>
      </c>
      <c r="Z58" s="28">
        <v>0.35483999999999999</v>
      </c>
      <c r="AA58" s="28">
        <v>0.17197000000000001</v>
      </c>
      <c r="AB58" s="28">
        <v>0.24937999999999999</v>
      </c>
      <c r="AC58" s="28">
        <v>0.27016000000000001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0.52595999999999998</v>
      </c>
      <c r="H59" s="7">
        <v>0.44599</v>
      </c>
      <c r="I59" s="7">
        <v>0.37026999999999999</v>
      </c>
      <c r="J59" s="7">
        <v>0.59009</v>
      </c>
      <c r="K59" s="7">
        <v>0.36635000000000001</v>
      </c>
      <c r="L59" s="7">
        <v>0.75712000000000002</v>
      </c>
      <c r="M59" s="7">
        <v>0.83748</v>
      </c>
      <c r="N59" s="7">
        <v>-0.32040000000000002</v>
      </c>
      <c r="O59" s="28">
        <v>0.35392000000000001</v>
      </c>
      <c r="P59" s="28">
        <v>0.48064000000000001</v>
      </c>
      <c r="Q59" s="28">
        <v>0.42451</v>
      </c>
      <c r="R59" s="28">
        <v>0.41442000000000001</v>
      </c>
      <c r="S59" s="28">
        <v>8.5699999999999998E-2</v>
      </c>
      <c r="T59" s="28">
        <v>0.38944000000000001</v>
      </c>
      <c r="U59" s="28">
        <v>0.3075</v>
      </c>
      <c r="V59" s="28">
        <v>0.59633999999999998</v>
      </c>
      <c r="W59" s="28">
        <v>0.13494999999999999</v>
      </c>
      <c r="X59" s="28">
        <v>0.65976000000000001</v>
      </c>
      <c r="Y59" s="28">
        <v>0.11476</v>
      </c>
      <c r="Z59" s="28">
        <v>0.72668999999999995</v>
      </c>
      <c r="AA59" s="28">
        <v>0.22686999999999999</v>
      </c>
      <c r="AB59" s="28">
        <v>0.29476999999999998</v>
      </c>
      <c r="AC59" s="28">
        <v>0.24165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0.49031000000000002</v>
      </c>
      <c r="H60" s="4">
        <v>0.37625999999999998</v>
      </c>
      <c r="I60" s="4">
        <v>0.30336000000000002</v>
      </c>
      <c r="J60" s="4">
        <v>0.30512</v>
      </c>
      <c r="K60" s="4">
        <v>0.28687000000000001</v>
      </c>
      <c r="L60" s="4">
        <v>0.72353000000000001</v>
      </c>
      <c r="M60" s="4">
        <v>0.88319000000000003</v>
      </c>
      <c r="N60" s="4">
        <v>-0.45624999999999999</v>
      </c>
      <c r="O60" s="29">
        <v>0.34671000000000002</v>
      </c>
      <c r="P60" s="29">
        <v>0.4476</v>
      </c>
      <c r="Q60" s="29">
        <v>0.41824</v>
      </c>
      <c r="R60" s="29">
        <v>0.39573999999999998</v>
      </c>
      <c r="S60" s="29">
        <v>1.465E-2</v>
      </c>
      <c r="T60" s="29">
        <v>0.38206000000000001</v>
      </c>
      <c r="U60" s="29">
        <v>0.35915000000000002</v>
      </c>
      <c r="V60" s="29">
        <v>0.93122000000000005</v>
      </c>
      <c r="W60" s="29">
        <v>0.14105999999999999</v>
      </c>
      <c r="X60" s="29">
        <v>0.71997999999999995</v>
      </c>
      <c r="Y60" s="29">
        <v>5.3760000000000002E-2</v>
      </c>
      <c r="Z60" s="29">
        <v>0.77110999999999996</v>
      </c>
      <c r="AA60" s="29">
        <v>0.25535000000000002</v>
      </c>
      <c r="AB60" s="29">
        <v>0.36105999999999999</v>
      </c>
      <c r="AC60" s="29">
        <v>0.28399999999999997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0.16963</v>
      </c>
      <c r="H61" s="7">
        <v>0.18265999999999999</v>
      </c>
      <c r="I61" s="7">
        <v>7.6E-3</v>
      </c>
      <c r="J61" s="7">
        <v>-8.1659999999999996E-2</v>
      </c>
      <c r="K61" s="7">
        <v>-2.0910000000000002E-2</v>
      </c>
      <c r="L61" s="7">
        <v>0.60833000000000004</v>
      </c>
      <c r="M61" s="7">
        <v>0.60843000000000003</v>
      </c>
      <c r="N61" s="7">
        <v>-0.69301999999999997</v>
      </c>
      <c r="O61" s="7">
        <v>4.3499999999999997E-2</v>
      </c>
      <c r="P61" s="7">
        <v>0.27033000000000001</v>
      </c>
      <c r="Q61" s="7">
        <v>0.13386000000000001</v>
      </c>
      <c r="R61" s="7">
        <v>7.3429999999999995E-2</v>
      </c>
      <c r="S61" s="7">
        <v>-0.15992000000000001</v>
      </c>
      <c r="T61" s="7">
        <v>0.16017000000000001</v>
      </c>
      <c r="U61" s="7">
        <v>2.4459999999999999E-2</v>
      </c>
      <c r="V61" s="7">
        <v>0.61129999999999995</v>
      </c>
      <c r="W61" s="7">
        <v>-0.21686</v>
      </c>
      <c r="X61" s="7">
        <v>7.6819999999999999E-2</v>
      </c>
      <c r="Y61" s="7">
        <v>-0.39501999999999998</v>
      </c>
      <c r="Z61" s="7">
        <v>0.31389</v>
      </c>
      <c r="AA61" s="7">
        <v>0.33726</v>
      </c>
      <c r="AB61" s="7">
        <v>0.28383999999999998</v>
      </c>
      <c r="AC61" s="54">
        <v>-5.3999999999999999E-2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5.8</v>
      </c>
      <c r="H62" s="7">
        <v>5.7</v>
      </c>
      <c r="I62" s="7">
        <v>5.0999999999999996</v>
      </c>
      <c r="J62" s="7">
        <v>5.7</v>
      </c>
      <c r="K62" s="7">
        <v>5.7</v>
      </c>
      <c r="L62" s="7">
        <v>5.7</v>
      </c>
      <c r="M62" s="7">
        <v>6.2</v>
      </c>
      <c r="N62" s="7">
        <v>5.7</v>
      </c>
      <c r="O62" s="7">
        <v>5.5</v>
      </c>
      <c r="P62" s="7">
        <v>5.3</v>
      </c>
      <c r="Q62" s="7">
        <v>5.2</v>
      </c>
      <c r="R62" s="7">
        <v>5.0999999999999996</v>
      </c>
      <c r="S62" s="7">
        <v>4.9000000000000004</v>
      </c>
      <c r="T62" s="7">
        <v>4.9000000000000004</v>
      </c>
      <c r="U62" s="7">
        <v>5</v>
      </c>
      <c r="V62" s="7">
        <v>5.6</v>
      </c>
      <c r="W62" s="7">
        <v>5.3</v>
      </c>
      <c r="X62" s="7">
        <v>5.0999999999999996</v>
      </c>
      <c r="Y62" s="7">
        <v>4.4000000000000004</v>
      </c>
      <c r="Z62" s="7">
        <v>4.4000000000000004</v>
      </c>
      <c r="AA62" s="7">
        <v>4.4000000000000004</v>
      </c>
      <c r="AB62" s="7">
        <v>4.5999999999999996</v>
      </c>
      <c r="AC62" s="54">
        <v>4.0999999999999996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0.39467999999999998</v>
      </c>
      <c r="H63" s="4">
        <v>0.52466999999999997</v>
      </c>
      <c r="I63" s="4">
        <v>1.0216400000000001</v>
      </c>
      <c r="J63" s="4">
        <v>-0.28495999999999999</v>
      </c>
      <c r="K63" s="29">
        <v>0.18382000000000001</v>
      </c>
      <c r="L63" s="29">
        <v>0.76378000000000001</v>
      </c>
      <c r="M63" s="29">
        <v>0.29232000000000002</v>
      </c>
      <c r="N63" s="29">
        <v>5.7619999999999998E-2</v>
      </c>
      <c r="O63" s="29">
        <v>0.64502000000000004</v>
      </c>
      <c r="P63" s="29">
        <v>0.61443999999999999</v>
      </c>
      <c r="Q63" s="29">
        <v>0.48884</v>
      </c>
      <c r="R63" s="29">
        <v>0.46126</v>
      </c>
      <c r="S63" s="29">
        <v>0.33085999999999999</v>
      </c>
      <c r="T63" s="29">
        <v>0.36703999999999998</v>
      </c>
      <c r="U63" s="29">
        <v>0.29049000000000003</v>
      </c>
      <c r="V63" s="29">
        <v>0.22075</v>
      </c>
      <c r="W63" s="29">
        <v>0.55605000000000004</v>
      </c>
      <c r="X63" s="29">
        <v>0.88782000000000005</v>
      </c>
      <c r="Y63" s="29">
        <v>0.75600999999999996</v>
      </c>
      <c r="Z63" s="29">
        <v>0.77915999999999996</v>
      </c>
      <c r="AA63" s="29">
        <v>0.31007000000000001</v>
      </c>
      <c r="AB63" s="29">
        <v>0.10047</v>
      </c>
      <c r="AC63" s="29">
        <v>0.86265999999999998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0.1231</v>
      </c>
      <c r="H64" s="7">
        <v>0.37689</v>
      </c>
      <c r="I64" s="7">
        <v>0.76326000000000005</v>
      </c>
      <c r="J64" s="7">
        <v>-0.63407999999999998</v>
      </c>
      <c r="K64" s="7">
        <v>-9.2219999999999996E-2</v>
      </c>
      <c r="L64" s="7">
        <v>0.68301999999999996</v>
      </c>
      <c r="M64" s="7">
        <v>5.9279999999999999E-2</v>
      </c>
      <c r="N64" s="7">
        <v>-0.13682</v>
      </c>
      <c r="O64" s="7">
        <v>0.38961000000000001</v>
      </c>
      <c r="P64" s="7">
        <v>0.47461999999999999</v>
      </c>
      <c r="Q64" s="7">
        <v>0.23346</v>
      </c>
      <c r="R64" s="7">
        <v>0.16879</v>
      </c>
      <c r="S64" s="7">
        <v>0.18179000000000001</v>
      </c>
      <c r="T64" s="7">
        <v>0.16699</v>
      </c>
      <c r="U64" s="7">
        <v>-2.8889999999999999E-2</v>
      </c>
      <c r="V64" s="7">
        <v>-8.3080000000000001E-2</v>
      </c>
      <c r="W64" s="28">
        <v>0.20787</v>
      </c>
      <c r="X64" s="28">
        <v>0.25855</v>
      </c>
      <c r="Y64" s="28">
        <v>0.31845000000000001</v>
      </c>
      <c r="Z64" s="28">
        <v>0.34194999999999998</v>
      </c>
      <c r="AA64" s="28">
        <v>0.41347</v>
      </c>
      <c r="AB64" s="28">
        <v>5.0430000000000003E-2</v>
      </c>
      <c r="AC64" s="28">
        <v>0.55032999999999999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7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4">
        <v>-0.5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46302.626006944447</v>
      </c>
      <c r="E66" s="20">
        <v>46332.626006944454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12380.450000000201</v>
      </c>
      <c r="Q66" s="17">
        <v>2675.4899999992999</v>
      </c>
      <c r="R66" s="17">
        <v>13373.54</v>
      </c>
      <c r="S66" s="17">
        <v>7801.3400000007996</v>
      </c>
      <c r="T66" s="17">
        <v>3314.7999999998001</v>
      </c>
      <c r="U66" s="17">
        <v>15741.370000000101</v>
      </c>
      <c r="V66" s="17">
        <v>4391.6399999997002</v>
      </c>
      <c r="W66" s="17">
        <v>7178.3200000002998</v>
      </c>
      <c r="X66" s="17">
        <v>21037.989999999299</v>
      </c>
      <c r="Y66" s="17">
        <v>21099.140000000501</v>
      </c>
      <c r="Z66" s="17">
        <v>2893.5700000002998</v>
      </c>
      <c r="AA66" s="17">
        <v>15336.2599999998</v>
      </c>
      <c r="AB66" s="17">
        <v>17740.089999999898</v>
      </c>
      <c r="AC66" s="17">
        <v>8280.6100000003007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-0.26151000000000002</v>
      </c>
      <c r="H67" s="7">
        <v>7.28E-3</v>
      </c>
      <c r="I67" s="7">
        <v>1.4104000000000001</v>
      </c>
      <c r="J67" s="7">
        <v>-0.31836999999999999</v>
      </c>
      <c r="K67" s="7">
        <v>0.82128999999999996</v>
      </c>
      <c r="L67" s="7">
        <v>-0.25247999999999998</v>
      </c>
      <c r="M67" s="7">
        <v>-0.31519999999999998</v>
      </c>
      <c r="N67" s="7">
        <v>5.7489999999999999E-2</v>
      </c>
      <c r="O67" s="7">
        <v>0.95043999999999995</v>
      </c>
      <c r="P67" s="7">
        <v>0.19683999999999999</v>
      </c>
      <c r="Q67" s="7">
        <v>0.72899000000000003</v>
      </c>
      <c r="R67" s="7">
        <v>0.31251000000000001</v>
      </c>
      <c r="S67" s="7">
        <v>-1.405E-2</v>
      </c>
      <c r="T67" s="7">
        <v>0.33500999999999997</v>
      </c>
      <c r="U67" s="7">
        <v>6.7710000000000006E-2</v>
      </c>
      <c r="V67" s="7">
        <v>-0.23100000000000001</v>
      </c>
      <c r="W67" s="7">
        <v>0.74138000000000004</v>
      </c>
      <c r="X67" s="7">
        <v>2.4561799999999998</v>
      </c>
      <c r="Y67" s="7">
        <v>1.14653</v>
      </c>
      <c r="Z67" s="7">
        <v>0.50180000000000002</v>
      </c>
      <c r="AA67" s="7">
        <v>-0.55057</v>
      </c>
      <c r="AB67" s="7">
        <v>-0.48637000000000002</v>
      </c>
      <c r="AC67" s="28">
        <v>1.49102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7">
        <v>0.79000999999999999</v>
      </c>
      <c r="AB68" s="7">
        <v>0.27812999999999999</v>
      </c>
      <c r="AC68" s="54">
        <v>-0.46645999999999999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7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4">
        <v>5.6001500000000002</v>
      </c>
      <c r="Z71" s="54">
        <v>14.46053</v>
      </c>
      <c r="AA71" s="54">
        <v>5.1271599999999999</v>
      </c>
      <c r="AB71" s="54">
        <v>5.8182900000000002</v>
      </c>
      <c r="AC71" s="54">
        <v>6.4976500000000001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8">
        <v>46322.542708333334</v>
      </c>
      <c r="F72" s="47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4">
        <v>6.3414000000000001</v>
      </c>
      <c r="Z72" s="54">
        <v>14.432359999999999</v>
      </c>
      <c r="AA72" s="54">
        <v>5.4063699999999999</v>
      </c>
      <c r="AB72" s="54">
        <v>5.4802200000000001</v>
      </c>
      <c r="AC72" s="54">
        <v>6.6498299999999997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46301.371770833335</v>
      </c>
      <c r="E73" s="50">
        <v>46330.371770833328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-92826</v>
      </c>
      <c r="AC73" s="17">
        <v>-105572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46308.678611111114</v>
      </c>
      <c r="E74" s="48">
        <v>46311.678611111114</v>
      </c>
      <c r="F74" s="47" t="s">
        <v>57</v>
      </c>
      <c r="G74" s="41" t="e">
        <v>#N/A</v>
      </c>
      <c r="H74" s="46">
        <v>4.42</v>
      </c>
      <c r="I74" s="46">
        <v>4.2699999999999996</v>
      </c>
      <c r="J74" s="46">
        <v>4.21</v>
      </c>
      <c r="K74" s="46">
        <v>4.22</v>
      </c>
      <c r="L74" s="46">
        <v>4.2</v>
      </c>
      <c r="M74" s="46">
        <v>4.21</v>
      </c>
      <c r="N74" s="46">
        <v>4.25</v>
      </c>
      <c r="O74" s="46">
        <v>4.2300000000000004</v>
      </c>
      <c r="P74" s="46">
        <v>4.25</v>
      </c>
      <c r="Q74" s="46">
        <v>4.12</v>
      </c>
      <c r="R74" s="46">
        <v>3.92</v>
      </c>
      <c r="S74" s="46">
        <v>3.82</v>
      </c>
      <c r="T74" s="46">
        <v>3.78</v>
      </c>
      <c r="U74" s="46">
        <v>3.59</v>
      </c>
      <c r="V74" s="46">
        <v>3.57</v>
      </c>
      <c r="W74" s="46">
        <v>3.6</v>
      </c>
      <c r="X74" s="46">
        <v>3.61</v>
      </c>
      <c r="Y74" s="46">
        <v>3.61</v>
      </c>
      <c r="Z74" s="46">
        <v>3.6</v>
      </c>
      <c r="AA74" s="46">
        <v>3.66</v>
      </c>
      <c r="AB74" s="46">
        <v>3.73</v>
      </c>
      <c r="AC74" s="46">
        <v>3.72</v>
      </c>
      <c r="AD74" s="46">
        <v>3.94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46300.678460648145</v>
      </c>
      <c r="E75" s="52">
        <v>46311.678460648138</v>
      </c>
      <c r="F75" s="42" t="s">
        <v>55</v>
      </c>
      <c r="G75" s="41" t="e">
        <v>#N/A</v>
      </c>
      <c r="H75" s="46">
        <v>7.81</v>
      </c>
      <c r="I75" s="46">
        <v>7.65</v>
      </c>
      <c r="J75" s="46">
        <v>7.5</v>
      </c>
      <c r="K75" s="46">
        <v>7.5</v>
      </c>
      <c r="L75" s="46">
        <v>7.5</v>
      </c>
      <c r="M75" s="46">
        <v>7.5</v>
      </c>
      <c r="N75" s="46">
        <v>7.5</v>
      </c>
      <c r="O75" s="46">
        <v>7.5</v>
      </c>
      <c r="P75" s="46">
        <v>7.5</v>
      </c>
      <c r="Q75" s="46">
        <v>7.5</v>
      </c>
      <c r="R75" s="46">
        <v>7.38</v>
      </c>
      <c r="S75" s="46">
        <v>7.23</v>
      </c>
      <c r="T75" s="46">
        <v>7</v>
      </c>
      <c r="U75" s="46">
        <v>6.84</v>
      </c>
      <c r="V75" s="46">
        <v>6.75</v>
      </c>
      <c r="W75" s="46">
        <v>6.75</v>
      </c>
      <c r="X75" s="46">
        <v>6.75</v>
      </c>
      <c r="Y75" s="46">
        <v>6.75</v>
      </c>
      <c r="Z75" s="46">
        <v>6.75</v>
      </c>
      <c r="AA75" s="46">
        <v>6.75</v>
      </c>
      <c r="AB75" s="46">
        <v>6.75</v>
      </c>
      <c r="AC75" s="46">
        <v>6.75</v>
      </c>
      <c r="AD75" s="46">
        <v>6.86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46308.678576388891</v>
      </c>
      <c r="E76" s="53">
        <v>46311.678576388891</v>
      </c>
      <c r="F76" s="45" t="s">
        <v>53</v>
      </c>
      <c r="G76" s="44" t="e">
        <v>#N/A</v>
      </c>
      <c r="H76" s="49">
        <v>4.26</v>
      </c>
      <c r="I76" s="49">
        <v>4.2300000000000004</v>
      </c>
      <c r="J76" s="49">
        <v>4.2699999999999996</v>
      </c>
      <c r="K76" s="49">
        <v>4.21</v>
      </c>
      <c r="L76" s="49">
        <v>3.97</v>
      </c>
      <c r="M76" s="49">
        <v>3.78</v>
      </c>
      <c r="N76" s="49">
        <v>3.92</v>
      </c>
      <c r="O76" s="49">
        <v>3.89</v>
      </c>
      <c r="P76" s="49">
        <v>3.88</v>
      </c>
      <c r="Q76" s="49">
        <v>3.7</v>
      </c>
      <c r="R76" s="49">
        <v>3.57</v>
      </c>
      <c r="S76" s="49">
        <v>3.52</v>
      </c>
      <c r="T76" s="49">
        <v>3.55</v>
      </c>
      <c r="U76" s="49">
        <v>3.5</v>
      </c>
      <c r="V76" s="49">
        <v>3.54</v>
      </c>
      <c r="W76" s="49">
        <v>3.47</v>
      </c>
      <c r="X76" s="49">
        <v>3.71</v>
      </c>
      <c r="Y76" s="49">
        <v>3.8</v>
      </c>
      <c r="Z76" s="49">
        <v>4</v>
      </c>
      <c r="AA76" s="49">
        <v>4.1100000000000003</v>
      </c>
      <c r="AB76" s="49">
        <v>4.22</v>
      </c>
      <c r="AC76" s="49">
        <v>4.22</v>
      </c>
      <c r="AD76" s="49">
        <v>4.6500000000000004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46308.678483796299</v>
      </c>
      <c r="E77" s="52">
        <v>46311.678483796306</v>
      </c>
      <c r="F77" s="47" t="s">
        <v>51</v>
      </c>
      <c r="G77" s="41" t="e">
        <v>#N/A</v>
      </c>
      <c r="H77" s="46">
        <v>4.3600000000000003</v>
      </c>
      <c r="I77" s="46">
        <v>4.3899999999999997</v>
      </c>
      <c r="J77" s="46">
        <v>4.63</v>
      </c>
      <c r="K77" s="46">
        <v>4.45</v>
      </c>
      <c r="L77" s="46">
        <v>4.28</v>
      </c>
      <c r="M77" s="46">
        <v>4.28</v>
      </c>
      <c r="N77" s="46">
        <v>4.42</v>
      </c>
      <c r="O77" s="46">
        <v>4.38</v>
      </c>
      <c r="P77" s="46">
        <v>4.3899999999999997</v>
      </c>
      <c r="Q77" s="46">
        <v>4.26</v>
      </c>
      <c r="R77" s="46">
        <v>4.12</v>
      </c>
      <c r="S77" s="46">
        <v>4.0599999999999996</v>
      </c>
      <c r="T77" s="46">
        <v>4.09</v>
      </c>
      <c r="U77" s="46">
        <v>4.1399999999999997</v>
      </c>
      <c r="V77" s="46">
        <v>4.21</v>
      </c>
      <c r="W77" s="46">
        <v>4.13</v>
      </c>
      <c r="X77" s="46">
        <v>4.25</v>
      </c>
      <c r="Y77" s="46">
        <v>4.32</v>
      </c>
      <c r="Z77" s="46">
        <v>4.4800000000000004</v>
      </c>
      <c r="AA77" s="46">
        <v>4.47</v>
      </c>
      <c r="AB77" s="46">
        <v>4.5999999999999996</v>
      </c>
      <c r="AC77" s="46">
        <v>4.68</v>
      </c>
      <c r="AD77" s="46">
        <v>4.99</v>
      </c>
      <c r="AH77" t="s">
        <v>44</v>
      </c>
    </row>
    <row r="78" spans="1:34" ht="15.75" x14ac:dyDescent="0.25">
      <c r="A78" s="42">
        <v>145</v>
      </c>
      <c r="B78" s="42" t="s">
        <v>50</v>
      </c>
      <c r="C78" s="16" t="s">
        <v>42</v>
      </c>
      <c r="D78" s="24">
        <v>46296.710868055554</v>
      </c>
      <c r="E78" s="52">
        <v>46311.710868055554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1">
        <v>0.38</v>
      </c>
      <c r="AC78" s="41">
        <v>0.46</v>
      </c>
      <c r="AD78" s="51">
        <v>0.34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46308.678437499999</v>
      </c>
      <c r="E79" s="50">
        <v>46311.678437499999</v>
      </c>
      <c r="F79" s="45" t="s">
        <v>47</v>
      </c>
      <c r="G79" s="44" t="e">
        <v>#N/A</v>
      </c>
      <c r="H79" s="49">
        <v>2.0299999999999998</v>
      </c>
      <c r="I79" s="49">
        <v>2.09</v>
      </c>
      <c r="J79" s="49">
        <v>2.23</v>
      </c>
      <c r="K79" s="49">
        <v>2.0299999999999998</v>
      </c>
      <c r="L79" s="49">
        <v>1.95</v>
      </c>
      <c r="M79" s="49">
        <v>2.04</v>
      </c>
      <c r="N79" s="49">
        <v>2.11</v>
      </c>
      <c r="O79" s="49">
        <v>2.09</v>
      </c>
      <c r="P79" s="49">
        <v>2.0099999999999998</v>
      </c>
      <c r="Q79" s="49">
        <v>1.88</v>
      </c>
      <c r="R79" s="49">
        <v>1.75</v>
      </c>
      <c r="S79" s="49">
        <v>1.76</v>
      </c>
      <c r="T79" s="49">
        <v>1.83</v>
      </c>
      <c r="U79" s="49">
        <v>1.9</v>
      </c>
      <c r="V79" s="49">
        <v>1.91</v>
      </c>
      <c r="W79" s="49">
        <v>1.82</v>
      </c>
      <c r="X79" s="49">
        <v>1.91</v>
      </c>
      <c r="Y79" s="49">
        <v>1.94</v>
      </c>
      <c r="Z79" s="49">
        <v>2.04</v>
      </c>
      <c r="AA79" s="49">
        <v>2.1800000000000002</v>
      </c>
      <c r="AB79" s="49">
        <v>2.35</v>
      </c>
      <c r="AC79" s="49">
        <v>2.4</v>
      </c>
      <c r="AD79" s="49">
        <v>2.64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46308.678587962961</v>
      </c>
      <c r="E80" s="48">
        <v>46311.678587962961</v>
      </c>
      <c r="F80" s="47" t="s">
        <v>45</v>
      </c>
      <c r="G80" s="41" t="e">
        <v>#N/A</v>
      </c>
      <c r="H80" s="46">
        <v>4.54</v>
      </c>
      <c r="I80" s="46">
        <v>4.58</v>
      </c>
      <c r="J80" s="46">
        <v>4.8499999999999996</v>
      </c>
      <c r="K80" s="46">
        <v>4.68</v>
      </c>
      <c r="L80" s="46">
        <v>4.5999999999999996</v>
      </c>
      <c r="M80" s="46">
        <v>4.71</v>
      </c>
      <c r="N80" s="46">
        <v>4.9000000000000004</v>
      </c>
      <c r="O80" s="46">
        <v>4.8899999999999997</v>
      </c>
      <c r="P80" s="46">
        <v>4.92</v>
      </c>
      <c r="Q80" s="46">
        <v>4.87</v>
      </c>
      <c r="R80" s="46">
        <v>4.74</v>
      </c>
      <c r="S80" s="46">
        <v>4.6399999999999997</v>
      </c>
      <c r="T80" s="46">
        <v>4.7</v>
      </c>
      <c r="U80" s="46">
        <v>4.8</v>
      </c>
      <c r="V80" s="46">
        <v>4.84</v>
      </c>
      <c r="W80" s="46">
        <v>4.76</v>
      </c>
      <c r="X80" s="46">
        <v>4.8499999999999996</v>
      </c>
      <c r="Y80" s="46">
        <v>4.91</v>
      </c>
      <c r="Z80" s="46">
        <v>5.03</v>
      </c>
      <c r="AA80" s="46">
        <v>4.95</v>
      </c>
      <c r="AB80" s="46">
        <v>5.0999999999999996</v>
      </c>
      <c r="AC80" s="46">
        <v>5.22</v>
      </c>
      <c r="AD80" s="46">
        <v>5.37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46308.710844907408</v>
      </c>
      <c r="E81" s="14">
        <v>46311.710844907415</v>
      </c>
      <c r="F81" s="42" t="s">
        <v>41</v>
      </c>
      <c r="G81" s="41" t="e">
        <v>#N/A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0">
        <v>0.73</v>
      </c>
      <c r="AC81" s="40">
        <v>0.81</v>
      </c>
      <c r="AD81" s="40">
        <v>0.9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46308.678506944445</v>
      </c>
      <c r="E82" s="20">
        <v>46314.678506944445</v>
      </c>
      <c r="F82" s="45" t="s">
        <v>39</v>
      </c>
      <c r="G82" s="44" t="e">
        <v>#N/A</v>
      </c>
      <c r="H82" s="44">
        <v>1.0621</v>
      </c>
      <c r="I82" s="44">
        <v>1.0471999999999999</v>
      </c>
      <c r="J82" s="44">
        <v>1.0356000000000001</v>
      </c>
      <c r="K82" s="44">
        <v>1.0412999999999999</v>
      </c>
      <c r="L82" s="44">
        <v>1.0812999999999999</v>
      </c>
      <c r="M82" s="44">
        <v>1.1232</v>
      </c>
      <c r="N82" s="44">
        <v>1.1274</v>
      </c>
      <c r="O82" s="44">
        <v>1.1534</v>
      </c>
      <c r="P82" s="44">
        <v>1.1671</v>
      </c>
      <c r="Q82" s="44">
        <v>1.1647000000000001</v>
      </c>
      <c r="R82" s="44">
        <v>1.1738999999999999</v>
      </c>
      <c r="S82" s="44">
        <v>1.1640999999999999</v>
      </c>
      <c r="T82" s="44">
        <v>1.1557999999999999</v>
      </c>
      <c r="U82" s="44">
        <v>1.171</v>
      </c>
      <c r="V82" s="44">
        <v>1.1744000000000001</v>
      </c>
      <c r="W82" s="44">
        <v>1.1823999999999999</v>
      </c>
      <c r="X82" s="44">
        <v>1.1556999999999999</v>
      </c>
      <c r="Y82" s="44">
        <v>1.1697</v>
      </c>
      <c r="Z82" s="44">
        <v>1.1680999999999999</v>
      </c>
      <c r="AA82" s="44">
        <v>1.1516</v>
      </c>
      <c r="AB82" s="44">
        <v>1.1423000000000001</v>
      </c>
      <c r="AC82" s="44">
        <v>1.1594</v>
      </c>
      <c r="AD82" s="43">
        <v>1.1505000000000001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46308.678599537037</v>
      </c>
      <c r="E83" s="23">
        <v>46314.67859953703</v>
      </c>
      <c r="F83" s="42" t="s">
        <v>36</v>
      </c>
      <c r="G83" s="41" t="e">
        <v>#N/A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119.2152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cellIs" dxfId="221" priority="222" stopIfTrue="1" operator="greaterThanOrEqual">
      <formula>0</formula>
    </cfRule>
  </conditionalFormatting>
  <conditionalFormatting sqref="G4:AD4">
    <cfRule type="cellIs" dxfId="220" priority="221" stopIfTrue="1" operator="lessThan">
      <formula>0</formula>
    </cfRule>
  </conditionalFormatting>
  <conditionalFormatting sqref="G4:AD4">
    <cfRule type="expression" dxfId="219" priority="220">
      <formula>ISERROR(G4)</formula>
    </cfRule>
  </conditionalFormatting>
  <conditionalFormatting sqref="G5:AD5">
    <cfRule type="cellIs" dxfId="218" priority="219" stopIfTrue="1" operator="greaterThanOrEqual">
      <formula>0</formula>
    </cfRule>
  </conditionalFormatting>
  <conditionalFormatting sqref="G5:AD5">
    <cfRule type="cellIs" dxfId="217" priority="218" stopIfTrue="1" operator="lessThan">
      <formula>0</formula>
    </cfRule>
  </conditionalFormatting>
  <conditionalFormatting sqref="G5:AD5">
    <cfRule type="expression" dxfId="216" priority="217">
      <formula>ISERROR(G5)</formula>
    </cfRule>
  </conditionalFormatting>
  <conditionalFormatting sqref="G6:AD6">
    <cfRule type="cellIs" dxfId="215" priority="216" stopIfTrue="1" operator="greaterThanOrEqual">
      <formula>0</formula>
    </cfRule>
  </conditionalFormatting>
  <conditionalFormatting sqref="G6:AD6">
    <cfRule type="cellIs" dxfId="214" priority="215" stopIfTrue="1" operator="lessThan">
      <formula>0</formula>
    </cfRule>
  </conditionalFormatting>
  <conditionalFormatting sqref="G6:AD6">
    <cfRule type="expression" dxfId="213" priority="214">
      <formula>ISERROR(G6)</formula>
    </cfRule>
  </conditionalFormatting>
  <conditionalFormatting sqref="G7:AD7">
    <cfRule type="cellIs" dxfId="212" priority="213" stopIfTrue="1" operator="greaterThanOrEqual">
      <formula>0</formula>
    </cfRule>
  </conditionalFormatting>
  <conditionalFormatting sqref="G7:AD7">
    <cfRule type="cellIs" dxfId="211" priority="212" stopIfTrue="1" operator="lessThan">
      <formula>0</formula>
    </cfRule>
  </conditionalFormatting>
  <conditionalFormatting sqref="G7:AD7">
    <cfRule type="expression" dxfId="210" priority="211">
      <formula>ISERROR(G7)</formula>
    </cfRule>
  </conditionalFormatting>
  <conditionalFormatting sqref="G8:AD8">
    <cfRule type="cellIs" dxfId="209" priority="210" stopIfTrue="1" operator="greaterThanOrEqual">
      <formula>0</formula>
    </cfRule>
  </conditionalFormatting>
  <conditionalFormatting sqref="G8:AD8">
    <cfRule type="cellIs" dxfId="208" priority="209" stopIfTrue="1" operator="lessThan">
      <formula>0</formula>
    </cfRule>
  </conditionalFormatting>
  <conditionalFormatting sqref="G8:AD8">
    <cfRule type="expression" dxfId="207" priority="208">
      <formula>ISERROR(G8)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expression" dxfId="182" priority="182">
      <formula>ISERROR(G19)</formula>
    </cfRule>
    <cfRule type="cellIs" dxfId="181" priority="183" stopIfTrue="1" operator="greaterThanOrEqual">
      <formula>F19</formula>
    </cfRule>
  </conditionalFormatting>
  <conditionalFormatting sqref="G19:AD19">
    <cfRule type="cellIs" dxfId="180" priority="181" stopIfTrue="1" operator="lessThan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AF63E834-3B73-4010-83D4-3865E120A78E}">
      <formula1>FormatOptions</formula1>
    </dataValidation>
  </dataValidations>
  <hyperlinks>
    <hyperlink ref="C4" r:id="rId1" display="https://fred.stlouisfed.org/series/MPCTXXXXS" xr:uid="{CD39BC6D-9D78-4490-9FBB-D1C56712D8FE}"/>
    <hyperlink ref="C5" r:id="rId2" display="https://fred.stlouisfed.org/series/TLPRVCONS" xr:uid="{1C84536D-F29F-4E79-B65A-B7779466C2E6}"/>
    <hyperlink ref="C6" r:id="rId3" display="https://fred.stlouisfed.org/series/TLRESCONS" xr:uid="{9D611DD8-81FA-4EBB-808D-95725C24D5DD}"/>
    <hyperlink ref="C7" r:id="rId4" display="https://fred.stlouisfed.org/series/TLHWYCONS" xr:uid="{81E4D87D-67D2-4A64-B95C-E75BF7E9D8DE}"/>
    <hyperlink ref="C8" r:id="rId5" display="https://fred.stlouisfed.org/series/HSN1F" xr:uid="{82F2BFEA-71A0-42E8-8771-4F8D8D7C1271}"/>
    <hyperlink ref="C9" r:id="rId6" display="https://fred.stlouisfed.org/series/HOUST" xr:uid="{F89DB7FE-D506-4565-8661-6ED5581FF450}"/>
    <hyperlink ref="C11" r:id="rId7" display="https://fred.stlouisfed.org/series/UNDCONTSA" xr:uid="{C374F2D1-9E8D-4982-AEFA-8C97D15044ED}"/>
    <hyperlink ref="C12" r:id="rId8" display="https://fred.stlouisfed.org/series/PERMIT" xr:uid="{DAC9D067-CF54-4034-AAAB-042066987EA3}"/>
    <hyperlink ref="C13" r:id="rId9" display="https://fred.stlouisfed.org/series/MORTGAGE30US" xr:uid="{8F2CD11C-A9DC-48F6-B36F-E9983D40201B}"/>
    <hyperlink ref="C16" r:id="rId10" display="https://fred.stlouisfed.org/series/ALTSALES" xr:uid="{2D32F66F-4919-4F12-87D4-BA6209F76557}"/>
    <hyperlink ref="C17" r:id="rId11" display="https://fred.stlouisfed.org/series/AISRSA" xr:uid="{76DB66F4-8ABC-4A8A-858D-800BFFE7F11D}"/>
    <hyperlink ref="C18" r:id="rId12" display="https://fred.stlouisfed.org/series/DAUTOSAAR" xr:uid="{EC4D1C19-1D1C-48A6-81D0-802A2698B542}"/>
    <hyperlink ref="C19" r:id="rId13" display="https://fred.stlouisfed.org/series/DAUPSA" xr:uid="{62649C48-BB04-458B-8EE5-65510B11E0C0}"/>
    <hyperlink ref="C23" r:id="rId14" display="https://fred.stlouisfed.org/series/UNEMPLOY" xr:uid="{F4E0FE54-BB53-4441-BC52-555C009C2A9D}"/>
    <hyperlink ref="C24" r:id="rId15" display="https://fred.stlouisfed.org/series/UNRATE" xr:uid="{6D2B1CA5-A842-44D6-A2C7-A80FF1C0E142}"/>
    <hyperlink ref="C25" r:id="rId16" display="https://fred.stlouisfed.org/series/AWHNONAG" xr:uid="{340737A8-4C52-4F1B-B21B-896875CA8F94}"/>
    <hyperlink ref="C26" r:id="rId17" display="https://fred.stlouisfed.org/series/CLF16OV" xr:uid="{2695759F-61E1-4AB9-A361-DC5B15E1A1EC}"/>
    <hyperlink ref="C29" r:id="rId18" display="https://fred.stlouisfed.org/series/INDPRO" xr:uid="{F3D77017-0712-413D-B595-2B7A6B73BD75}"/>
    <hyperlink ref="C30" r:id="rId19" display="https://fred.stlouisfed.org/series/TCU" xr:uid="{19DF77CD-D739-4C59-9756-29742EF2F9C0}"/>
    <hyperlink ref="C31" r:id="rId20" display="https://fred.stlouisfed.org/series/AMTMNO" xr:uid="{50444CED-9515-4BAD-AF80-5DACA9113328}"/>
    <hyperlink ref="C32" r:id="rId21" display="https://fred.stlouisfed.org/series/DGORDER" xr:uid="{8B8268B7-469D-45B3-A2E1-1A858D362359}"/>
    <hyperlink ref="C33" r:id="rId22" display="https://fred.stlouisfed.org/series/ANXAVS" xr:uid="{FD27DA25-3BE0-4EB2-84E7-53D768CF7C3A}"/>
    <hyperlink ref="C36" r:id="rId23" display="https://fred.stlouisfed.org/series/BUSINV" xr:uid="{6A873BDB-B866-4000-A11D-171DDFC95CFC}"/>
    <hyperlink ref="C37" r:id="rId24" display="https://fred.stlouisfed.org/series/ISRATIO" xr:uid="{59A2A9D5-DFAE-43B7-8327-569F1EE7C5BB}"/>
    <hyperlink ref="C38" r:id="rId25" display="https://fred.stlouisfed.org/series/RETAILMPCIMSA" xr:uid="{8B3E4CC4-B704-4F2F-9A66-2BD5CF14EF3D}"/>
    <hyperlink ref="C39" r:id="rId26" display="https://fred.stlouisfed.org/series/ACNGTI" xr:uid="{C70A1BE3-BE44-4565-8B3F-24D5B330E051}"/>
    <hyperlink ref="C42" r:id="rId27" display="https://fred.stlouisfed.org/series/CPIAUCSL" xr:uid="{6371530A-9723-4AAF-93E4-A1B323ABFA0D}"/>
    <hyperlink ref="C43" r:id="rId28" display="https://fred.stlouisfed.org/series/CPIFABSL" xr:uid="{8131B5C7-F019-40AE-86CC-B99F20C34796}"/>
    <hyperlink ref="C44" r:id="rId29" display="https://fred.stlouisfed.org/series/CPIENGSL" xr:uid="{A4BD50DB-1CB2-450E-8744-14DAD65A4C09}"/>
    <hyperlink ref="C45" r:id="rId30" display="https://fred.stlouisfed.org/series/CPILFESL" xr:uid="{F62AC6D2-1626-4D9F-AA7A-68539696D2EB}"/>
    <hyperlink ref="C48" r:id="rId31" display="https://fred.stlouisfed.org/series/WPUFD49207" xr:uid="{41486A7F-88B8-4434-A528-B9AD8C44EB29}"/>
    <hyperlink ref="C49" r:id="rId32" display="https://fred.stlouisfed.org/series/WPSID61" xr:uid="{B3211A87-677B-466E-AA73-799CE9BC959A}"/>
    <hyperlink ref="C50" r:id="rId33" display="https://fred.stlouisfed.org/series/PRAWMINDEXM" xr:uid="{1D1E2913-ECED-4418-B52F-D41CE822CD78}"/>
    <hyperlink ref="C52" r:id="rId34" display="https://fred.stlouisfed.org/series/DCOILWTICO" xr:uid="{4E3D9225-393C-42FD-9E54-70AEE5E19E18}"/>
    <hyperlink ref="C53" r:id="rId35" display="https://fred.stlouisfed.org/series/DCOILBRENTEU" xr:uid="{83D96DB9-E00F-4BA2-8666-57BF72B8D947}"/>
    <hyperlink ref="C54" r:id="rId36" display="https://fred.stlouisfed.org/series/DHHNGSP" xr:uid="{E6AB1452-CCE1-4708-95F8-38060A02B6FA}"/>
    <hyperlink ref="C58" r:id="rId37" display="https://fred.stlouisfed.org/series/DHHNGSP" xr:uid="{5391735B-6370-41C4-8A0D-7335925C3313}"/>
    <hyperlink ref="C59" r:id="rId38" display="https://fred.stlouisfed.org/series/PI" xr:uid="{8CF0F396-EA10-469F-A7D0-FB7D6966A1E9}"/>
    <hyperlink ref="C60" r:id="rId39" display="https://fred.stlouisfed.org/series/DSPI" xr:uid="{6CF152BD-6FAB-48BB-8D73-317C9F8C4679}"/>
    <hyperlink ref="C61" r:id="rId40" display="https://fred.stlouisfed.org/series/A229RX0" xr:uid="{6E66FA21-561F-442C-8AED-7F3451609ACD}"/>
    <hyperlink ref="C62" r:id="rId41" display="https://fred.stlouisfed.org/series/PSAVERT" xr:uid="{9943EFA2-D33C-4335-8BDA-FB2CB49DD5B6}"/>
    <hyperlink ref="C63" r:id="rId42" display="https://fred.stlouisfed.org/series/PCE" xr:uid="{A1C659D2-AB0F-4C23-9FC1-48B50847FE94}"/>
    <hyperlink ref="C64" r:id="rId43" display="https://fred.stlouisfed.org/series/PCEC96" xr:uid="{96268601-C9C1-4CF0-BAE0-4E9328C26DF9}"/>
    <hyperlink ref="C65" r:id="rId44" display="https://fred.stlouisfed.org/series/MRTSMPCSM44X72USS" xr:uid="{BEEA9057-2C8D-481E-A448-2FB895AAE0C9}"/>
    <hyperlink ref="C66" r:id="rId45" display="https://fred.stlouisfed.org/series/TOTALSL" xr:uid="{F2FC4417-39A4-4E48-A780-56ED9F0EE6FF}"/>
    <hyperlink ref="C67" r:id="rId46" display="https://fred.stlouisfed.org/series/PCEND" xr:uid="{AE2846B6-5848-4D02-B901-230031F5E80A}"/>
    <hyperlink ref="C68" r:id="rId47" display="https://fred.stlouisfed.org/series/A22BVS" xr:uid="{1C163D8C-2DAC-4418-A07C-3D8CADC042CC}"/>
    <hyperlink ref="C71" r:id="rId48" display="https://fred.stlouisfed.org/series/M1SL" xr:uid="{8EF7ABB6-14F0-41DE-AB94-712828CF85D9}"/>
    <hyperlink ref="C72" r:id="rId49" display="https://fred.stlouisfed.org/series/M2SL" xr:uid="{77698096-D653-4B09-837C-96C6208BBD36}"/>
    <hyperlink ref="C74" r:id="rId50" display="https://fred.stlouisfed.org/series/DTB3" xr:uid="{E4DB2C80-A0A0-4131-9A1D-E2698E1F78B6}"/>
    <hyperlink ref="C75" r:id="rId51" display="https://fred.stlouisfed.org/series/DPRIME" xr:uid="{F32BBCEB-B780-4AFB-AFFE-998E3274BB02}"/>
    <hyperlink ref="C76" r:id="rId52" display="https://fred.stlouisfed.org/series/DGS10" xr:uid="{D83A0E77-4079-4364-A0A3-45F5ADFA276B}"/>
    <hyperlink ref="C79" r:id="rId53" display="https://fred.stlouisfed.org/series/DFII10" xr:uid="{BA89AFCD-D387-4E00-AAB5-C2D2534E8743}"/>
    <hyperlink ref="C80" r:id="rId54" display="https://fred.stlouisfed.org/series/DGS30" xr:uid="{7F7EC27E-527B-4C0C-9FDA-6C912680F336}"/>
    <hyperlink ref="C82" r:id="rId55" display="https://fred.stlouisfed.org/series/DEXUSEU" xr:uid="{25F3C874-FE00-4535-B4DD-3A30518EA849}"/>
    <hyperlink ref="C83" r:id="rId56" display="https://fred.stlouisfed.org/series/DTWEXBGS" xr:uid="{9030AF68-3C49-44A8-90AA-1A5E4F6113B7}"/>
    <hyperlink ref="C87" r:id="rId57" display="https://fred.stlouisfed.org/series/GDPC1" xr:uid="{9DB904B5-3BC5-4510-A748-7C3D4C0F38D1}"/>
    <hyperlink ref="C88" r:id="rId58" display="https://fred.stlouisfed.org/series/GDP" xr:uid="{1ACAA390-08C4-45BF-8571-843776D1C1D9}"/>
    <hyperlink ref="C89" r:id="rId59" display="https://fred.stlouisfed.org/series/PCEDG" xr:uid="{9C517E6D-3EAB-4F68-AB29-11398FFBF0CC}"/>
    <hyperlink ref="C90" r:id="rId60" display="https://fred.stlouisfed.org/series/PNFIC1" xr:uid="{8215BF73-261D-4E83-8323-8A1F57F57AEE}"/>
    <hyperlink ref="C91" r:id="rId61" display="https://fred.stlouisfed.org/series/PRFIC1" xr:uid="{EC1D0141-1585-4214-BC09-A622DB9C9859}"/>
    <hyperlink ref="C92" r:id="rId62" display="https://fred.stlouisfed.org/series/CBI" xr:uid="{CA41EBBB-B5D7-4058-AEDF-3C8BF63849A3}"/>
    <hyperlink ref="C93" r:id="rId63" display="https://fred.stlouisfed.org/series/NETEXC" xr:uid="{3945D75E-2482-4E4B-8209-2945EF1A71E7}"/>
    <hyperlink ref="C94" r:id="rId64" display="https://fred.stlouisfed.org/series/IEABC" xr:uid="{BEA7FC97-9663-4B3F-BBA8-1F8E3A5330B2}"/>
    <hyperlink ref="C73" r:id="rId65" display="https://fred.stlouisfed.org/series/BOPGSTB" xr:uid="{3C7CCF8A-2F44-43C9-91B3-971D9DE9FF3A}"/>
    <hyperlink ref="C95" r:id="rId66" display="https://fred.stlouisfed.org/series/GCEC1" xr:uid="{64A0DE43-DCDF-4F61-BF15-39FC5587A039}"/>
    <hyperlink ref="C96" r:id="rId67" display="https://fred.stlouisfed.org/series/EVACANTUSQ176N" xr:uid="{3D5744C7-269C-4BAC-9EC1-3C19036537AB}"/>
    <hyperlink ref="C81" r:id="rId68" display="https://fred.stlouisfed.org/series/DTWEXBGS" xr:uid="{7859D2DF-84ED-4A6B-B4CE-B86D61DB02DD}"/>
    <hyperlink ref="C78" r:id="rId69" display="https://fred.stlouisfed.org/series/DTWEXBGS" xr:uid="{B3EBFDE6-6BA5-46D4-A8D0-54F6B03E1A07}"/>
    <hyperlink ref="C77" r:id="rId70" display="https://fred.stlouisfed.org/series/DGS10" xr:uid="{4400573F-16B8-4D59-B5A7-D292678946C7}"/>
    <hyperlink ref="C51" r:id="rId71" display="https://fred.stlouisfed.org/series/PRAWMINDEXM" xr:uid="{34D3BF34-58B8-49DA-BC33-66C43975517E}"/>
    <hyperlink ref="C22" r:id="rId72" display="https://fred.stlouisfed.org/series/PAYEMS" xr:uid="{AEE8F153-1FCF-44F3-BB12-DA8A3701FBB8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261015 EconSheet</vt:lpstr>
      <vt:lpstr>'261015 EconSheet'!Conditions</vt:lpstr>
      <vt:lpstr>'261015 EconSheet'!DataTable</vt:lpstr>
      <vt:lpstr>'261015 EconSheet'!DataTableStart</vt:lpstr>
      <vt:lpstr>'261015 EconSheet'!DatesAndSeries</vt:lpstr>
      <vt:lpstr>'261015 EconSheet'!DatesCol</vt:lpstr>
      <vt:lpstr>'261015 EconSheet'!ESSeries</vt:lpstr>
      <vt:lpstr>'261015 EconSheet'!FormatTable</vt:lpstr>
      <vt:lpstr>'261015 EconSheet'!Print_Area</vt:lpstr>
      <vt:lpstr>'261015 EconSheet'!SpFormat1</vt:lpstr>
      <vt:lpstr>'261015 EconSheet'!SpFormat2</vt:lpstr>
      <vt:lpstr>'261015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2026-10-15T12:43:20Z</dcterms:created>
  <dcterms:modified xsi:type="dcterms:W3CDTF">2026-10-15T12:43:22Z</dcterms:modified>
</cp:coreProperties>
</file>