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0D0D0F0D-583F-4A3D-99C1-B713D03E8329}" xr6:coauthVersionLast="47" xr6:coauthVersionMax="47" xr10:uidLastSave="{00000000-0000-0000-0000-000000000000}"/>
  <bookViews>
    <workbookView xWindow="-120" yWindow="-120" windowWidth="38640" windowHeight="21120" xr2:uid="{29F219B4-4D8E-4172-BAE1-3FA8374FC94E}"/>
  </bookViews>
  <sheets>
    <sheet name="260926 EconSheet" sheetId="1" r:id="rId1"/>
  </sheets>
  <externalReferences>
    <externalReference r:id="rId2"/>
  </externalReferences>
  <definedNames>
    <definedName name="_xlnm._FilterDatabase" localSheetId="0" hidden="1">'260926 EconSheet'!$A$28:$AF$33</definedName>
    <definedName name="Conditions" localSheetId="0">'260926 EconSheet'!$AH$3:$AH$96</definedName>
    <definedName name="CurrDates">[1]Currencies!$A$8:$A$14337</definedName>
    <definedName name="DataStart">'[1]Retrieved Data'!$A$1</definedName>
    <definedName name="DataTable" localSheetId="0">'260926 EconSheet'!$G$4:$AD$96</definedName>
    <definedName name="DataTableStart" localSheetId="0">'260926 EconSheet'!$G$4</definedName>
    <definedName name="DatesAndSeries" localSheetId="0">'260926 EconSheet'!$E$4:$F$96</definedName>
    <definedName name="DatesAndSeries">[1]EconSheet!$E$4:$F$96</definedName>
    <definedName name="DatesCol" localSheetId="0">'260926 EconSheet'!$E$4:$E$96</definedName>
    <definedName name="DatesCol">[1]EconSheet!$E$4:$E$96</definedName>
    <definedName name="ESSeries" localSheetId="0">'260926 EconSheet'!$B$4:$B$103</definedName>
    <definedName name="ForceAll" localSheetId="0">'260926 EconSheet'!#REF!</definedName>
    <definedName name="FormatOptions">[1]Calculations!$U$3:$U$14</definedName>
    <definedName name="FormatTable" localSheetId="0">'260926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'260926 EconSheet'!$F$1:$AD$54,'260926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'260926 EconSheet'!$AH$131</definedName>
    <definedName name="SpFormat2" localSheetId="0">'260926 EconSheet'!$AH$136</definedName>
    <definedName name="TrueFalse" localSheetId="0">'260926 EconSheet'!#REF!</definedName>
    <definedName name="TrueFalse">[1]EconSheet!$AU$1:$AU$2</definedName>
    <definedName name="WholeTable" localSheetId="0">'260926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Z8" authorId="0" shapeId="0" xr:uid="{0ED72EE6-8DDE-499C-8A1B-F26F1E0278C9}">
      <text>
        <r>
          <rPr>
            <sz val="9"/>
            <color indexed="81"/>
            <rFont val="Tahoma"/>
            <family val="2"/>
          </rPr>
          <t>Previous Value:
-1.7</t>
        </r>
      </text>
    </comment>
    <comment ref="AA8" authorId="0" shapeId="0" xr:uid="{2AC1555E-3124-451C-89B8-005CCB5771D5}">
      <text>
        <r>
          <rPr>
            <sz val="9"/>
            <color indexed="81"/>
            <rFont val="Tahoma"/>
            <family val="2"/>
          </rPr>
          <t>Previous Value:
7.6</t>
        </r>
      </text>
    </comment>
    <comment ref="AB8" authorId="0" shapeId="0" xr:uid="{2875CF04-95E4-4047-8CBA-A4421424A802}">
      <text>
        <r>
          <rPr>
            <sz val="9"/>
            <color indexed="81"/>
            <rFont val="Tahoma"/>
            <family val="2"/>
          </rPr>
          <t>Previous Value:
-10.5</t>
        </r>
      </text>
    </comment>
    <comment ref="AC8" authorId="0" shapeId="0" xr:uid="{09DF41EF-D16F-40DE-82B1-1BBE5EBBE1C9}">
      <text>
        <r>
          <rPr>
            <sz val="9"/>
            <color indexed="81"/>
            <rFont val="Tahoma"/>
            <family val="2"/>
          </rPr>
          <t>New Value</t>
        </r>
      </text>
    </comment>
    <comment ref="AC12" authorId="0" shapeId="0" xr:uid="{F9F6EAA1-A53F-4FA9-8274-5F3BDF52491B}">
      <text>
        <r>
          <rPr>
            <sz val="9"/>
            <color indexed="81"/>
            <rFont val="Tahoma"/>
            <family val="2"/>
          </rPr>
          <t>Previous Value:
-2.7</t>
        </r>
      </text>
    </comment>
    <comment ref="AD13" authorId="0" shapeId="0" xr:uid="{D2FAE4A3-D47E-40B7-863A-944FC08D046E}">
      <text>
        <r>
          <rPr>
            <sz val="9"/>
            <color indexed="81"/>
            <rFont val="Tahoma"/>
            <family val="2"/>
          </rPr>
          <t>Previous Value:
6.81</t>
        </r>
      </text>
    </comment>
    <comment ref="AB32" authorId="0" shapeId="0" xr:uid="{64DDA819-EC9C-4D38-911E-747AC7742562}">
      <text>
        <r>
          <rPr>
            <sz val="9"/>
            <color indexed="81"/>
            <rFont val="Tahoma"/>
            <family val="2"/>
          </rPr>
          <t>Previous Value:
1.1</t>
        </r>
      </text>
    </comment>
    <comment ref="AC32" authorId="0" shapeId="0" xr:uid="{02082B79-B044-4074-BEEA-1D5E8C815B22}">
      <text>
        <r>
          <rPr>
            <sz val="9"/>
            <color indexed="81"/>
            <rFont val="Tahoma"/>
            <family val="2"/>
          </rPr>
          <t>New Value</t>
        </r>
      </text>
    </comment>
    <comment ref="AB33" authorId="0" shapeId="0" xr:uid="{4D686B14-4BEA-44F6-8DB6-EEE2C7F0F386}">
      <text>
        <r>
          <rPr>
            <sz val="9"/>
            <color indexed="81"/>
            <rFont val="Tahoma"/>
            <family val="2"/>
          </rPr>
          <t>Previous Value:
1.2</t>
        </r>
      </text>
    </comment>
    <comment ref="AC33" authorId="0" shapeId="0" xr:uid="{728D056C-D595-4E69-A590-91BD8652AB60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<sst xmlns="http://schemas.openxmlformats.org/spreadsheetml/2006/main" count="430" uniqueCount="191">
  <si>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</si>
  <si>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</si>
  <si>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</si>
  <si>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</si>
  <si>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</si>
  <si>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</si>
  <si>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</si>
  <si>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</si>
  <si>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</si>
  <si>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</si>
  <si>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</si>
  <si>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</si>
  <si>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</si>
  <si>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</si>
  <si>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</si>
  <si>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</si>
  <si>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</si>
  <si>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</si>
  <si>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</si>
  <si>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</si>
  <si>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</si>
  <si>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</si>
  <si>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</si>
  <si>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</si>
  <si>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</si>
  <si>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</si>
  <si>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</si>
  <si>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</si>
  <si>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</si>
  <si>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</si>
  <si>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</si>
  <si>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</si>
  <si>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</si>
  <si>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</si>
  <si>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</si>
  <si>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</si>
  <si>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</si>
  <si>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</si>
  <si>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</si>
  <si>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</si>
  <si>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</si>
  <si>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</si>
  <si>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</si>
  <si>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</si>
  <si>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</si>
  <si>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</si>
  <si>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</si>
  <si>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</si>
  <si>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</si>
  <si>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</si>
  <si>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</si>
  <si>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</si>
  <si>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</si>
  <si>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</si>
  <si>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</si>
  <si>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</si>
  <si>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</si>
  <si>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</si>
  <si>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</si>
  <si>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</si>
  <si>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</si>
  <si>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</si>
  <si>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</si>
  <si>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</si>
  <si>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</si>
  <si>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</si>
  <si>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</si>
  <si>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</si>
  <si>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</si>
  <si>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</si>
  <si>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</si>
  <si>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</si>
  <si>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</si>
  <si>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</si>
  <si>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</si>
  <si>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</si>
  <si>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</si>
  <si>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</si>
  <si>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</si>
  <si>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</si>
  <si>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</si>
  <si>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</si>
  <si>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</si>
  <si>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</si>
  <si>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</si>
  <si>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</si>
  <si>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</si>
  <si>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</si>
  <si>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</si>
  <si>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</si>
  <si>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</si>
  <si>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</si>
  <si>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</si>
  <si>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</si>
  <si>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</si>
  <si>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</si>
  <si>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</si>
  <si>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</si>
  <si>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</si>
  <si>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</si>
  <si>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</si>
  <si>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</si>
  <si>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</si>
  <si>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</si>
  <si>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</si>
  <si>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</si>
  <si>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</si>
  <si>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</si>
  <si>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</si>
  <si>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</si>
  <si>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</si>
  <si>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</si>
  <si>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</si>
  <si>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</si>
  <si>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</si>
  <si>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</si>
  <si>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</si>
  <si>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</si>
  <si>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</si>
  <si>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</si>
  <si>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</si>
  <si>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</si>
  <si>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</si>
  <si>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</si>
  <si>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</si>
  <si>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</si>
  <si>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</si>
  <si>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</si>
  <si>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</si>
  <si>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</si>
  <si>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</si>
  <si>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</si>
  <si>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</si>
  <si>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</si>
  <si>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</si>
  <si>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</si>
  <si>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</si>
  <si>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</si>
  <si>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</si>
  <si>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</si>
  <si>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</si>
  <si>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</si>
  <si>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</si>
  <si>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</si>
  <si>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</si>
  <si>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</si>
  <si>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</si>
  <si>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</si>
  <si>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</si>
  <si>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</si>
  <si>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</si>
  <si>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</si>
  <si>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</si>
  <si>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</si>
  <si>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</si>
  <si>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</si>
  <si>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</si>
  <si>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</si>
  <si>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</si>
  <si>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</si>
  <si>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</si>
  <si>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</si>
  <si>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</si>
  <si>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</si>
  <si>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</si>
  <si>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</si>
  <si>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</si>
  <si>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</si>
  <si>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</si>
  <si>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</si>
  <si>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</si>
  <si>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</si>
  <si>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</si>
  <si>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</si>
  <si>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</si>
  <si>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</si>
  <si>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</si>
  <si>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</si>
  <si>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</si>
  <si>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</si>
  <si>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</si>
  <si>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</si>
  <si>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</si>
  <si>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</si>
  <si>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</si>
  <si>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</si>
  <si>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9/28/26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</si>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</sst>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2" borderId="0" xfId="1" applyNumberFormat="1" applyFont="1" applyFill="1"/>
    <xf numFmtId="2" fontId="4" fillId="3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2" borderId="1" xfId="1" applyNumberFormat="1" applyFont="1" applyFill="1" applyBorder="1"/>
    <xf numFmtId="2" fontId="4" fillId="3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14" fontId="12" fillId="0" borderId="1" xfId="0" applyNumberFormat="1" applyFont="1" applyBorder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65" fontId="4" fillId="4" borderId="3" xfId="1" applyNumberFormat="1" applyFont="1" applyFill="1" applyBorder="1"/>
    <xf numFmtId="165" fontId="4" fillId="4" borderId="4" xfId="1" applyNumberFormat="1" applyFont="1" applyFill="1" applyBorder="1"/>
    <xf numFmtId="165" fontId="4" fillId="3" borderId="5" xfId="1" applyNumberFormat="1" applyFont="1" applyFill="1" applyBorder="1"/>
    <xf numFmtId="165" fontId="4" fillId="0" borderId="6" xfId="1" applyNumberFormat="1" applyFont="1" applyBorder="1"/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2" fontId="4" fillId="2" borderId="6" xfId="1" applyNumberFormat="1" applyFont="1" applyFill="1" applyBorder="1"/>
    <xf numFmtId="165" fontId="4" fillId="3" borderId="6" xfId="1" applyNumberFormat="1" applyFont="1" applyFill="1" applyBorder="1"/>
    <xf numFmtId="165" fontId="4" fillId="4" borderId="5" xfId="1" applyNumberFormat="1" applyFont="1" applyFill="1" applyBorder="1"/>
    <xf numFmtId="165" fontId="4" fillId="0" borderId="5" xfId="1" applyNumberFormat="1" applyFont="1" applyBorder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6D40E3A9-A92D-41E3-9603-7DFB7DB72BC9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34E20432-F0C7-4A8D-8948-9F9C2E2C2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6060D19C-70B5-46F0-B1DA-4AB3CBE4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Retrieved Data (2)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46296.42969907407</v>
          </cell>
          <cell r="F4" t="str">
            <v>Construction Expenditures (% Δ)</v>
          </cell>
        </row>
        <row r="5">
          <cell r="E5">
            <v>46296.429490740731</v>
          </cell>
          <cell r="F5" t="str">
            <v>Private (% Δ)</v>
          </cell>
        </row>
        <row r="6">
          <cell r="E6">
            <v>46296.429467592592</v>
          </cell>
          <cell r="F6" t="str">
            <v>Residential (% Δ)</v>
          </cell>
        </row>
        <row r="7">
          <cell r="E7">
            <v>46296.429490740731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46296.501689814817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46295.596238425933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46295.596238425933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46297.394143518526</v>
          </cell>
          <cell r="F22" t="str">
            <v>Payroll Employment (change in 000's)</v>
          </cell>
        </row>
        <row r="23">
          <cell r="E23">
            <v>46297.394108796288</v>
          </cell>
          <cell r="F23" t="str">
            <v>Unemployment (change 000's)</v>
          </cell>
        </row>
        <row r="24">
          <cell r="E24">
            <v>46297.394108796288</v>
          </cell>
          <cell r="F24" t="str">
            <v>Civilian Unemployment Rate (%)</v>
          </cell>
        </row>
        <row r="25">
          <cell r="E25">
            <v>46297.395682870381</v>
          </cell>
          <cell r="F25" t="str">
            <v>Factory Workweek (hours)</v>
          </cell>
        </row>
        <row r="26">
          <cell r="E26">
            <v>46297.395185185189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46297.421944444446</v>
          </cell>
          <cell r="F31" t="str">
            <v>Total New Orders (% Δ)</v>
          </cell>
        </row>
        <row r="32">
          <cell r="E32">
            <v>46297.356863425928</v>
          </cell>
          <cell r="F32" t="str">
            <v>Durable Goods (% Δ)</v>
          </cell>
        </row>
        <row r="33">
          <cell r="E33">
            <v>46297.356828703705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46297.421932870377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46295.553807870368</v>
          </cell>
          <cell r="F52" t="str">
            <v>Crude Oil WTI Cushing - Spot USD/BBL Last day of Month</v>
          </cell>
        </row>
        <row r="53">
          <cell r="E53">
            <v>46295.553807870368</v>
          </cell>
          <cell r="F53" t="str">
            <v>Crude Oil Brent - Spot USD/BBL Last day of Month</v>
          </cell>
        </row>
        <row r="54">
          <cell r="E54">
            <v>46295.56414351851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46295.36373842592</v>
          </cell>
          <cell r="F58" t="str">
            <v>Wage and Salary Dispersments  (% Δ)</v>
          </cell>
        </row>
        <row r="59">
          <cell r="E59">
            <v>46295.36373842592</v>
          </cell>
          <cell r="F59" t="str">
            <v>Personal Income (% Δ)</v>
          </cell>
        </row>
        <row r="60">
          <cell r="E60">
            <v>46295.363773148158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46295.363726851851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46297.4221412037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46293.67832175926</v>
          </cell>
          <cell r="F74" t="str">
            <v>3-Month Treasury Bills, Secondary market (%)</v>
          </cell>
        </row>
        <row r="75">
          <cell r="E75">
            <v>46293.678252314814</v>
          </cell>
          <cell r="F75" t="str">
            <v>Bank Prime Rate (%)</v>
          </cell>
        </row>
        <row r="76">
          <cell r="E76">
            <v>46293.678194444452</v>
          </cell>
          <cell r="F76" t="str">
            <v>2-yr. Treasury Bond Yield at Constant Maturity (%)</v>
          </cell>
        </row>
        <row r="77">
          <cell r="E77">
            <v>46293.678275462968</v>
          </cell>
          <cell r="F77" t="str">
            <v>10-yr. Treasury Bond Yield at Constant Maturity (%)</v>
          </cell>
        </row>
        <row r="78">
          <cell r="E78">
            <v>46293.710868055554</v>
          </cell>
          <cell r="F78" t="str">
            <v>10 Yr - 2 Yr Treasury Spread - Const Maturity %</v>
          </cell>
        </row>
        <row r="79">
          <cell r="E79">
            <v>46293.678263888898</v>
          </cell>
          <cell r="F79" t="str">
            <v>10-yr. Treasury Bond Yield at Const. Mat. Inflation Indexed (%)</v>
          </cell>
        </row>
        <row r="80">
          <cell r="E80">
            <v>46293.678252314814</v>
          </cell>
          <cell r="F80" t="str">
            <v>30-yr. Treasury Bond Yield at Constant Maturity (%)</v>
          </cell>
        </row>
        <row r="81">
          <cell r="E81">
            <v>46293.710821759261</v>
          </cell>
          <cell r="F81" t="str">
            <v>10 Yr - 3 Month Treasury Spread - Const Maturity %</v>
          </cell>
        </row>
        <row r="82">
          <cell r="E82">
            <v>46293.678287037037</v>
          </cell>
          <cell r="F82" t="str">
            <v>USD/EUR Exchange Rate - Last Day of Month</v>
          </cell>
        </row>
        <row r="83">
          <cell r="E83">
            <v>46293.67824074073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46295.367372685185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46295.367141203693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46295.367499999993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46295.367372685185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2"/>
      <sheetData sheetId="13"/>
      <sheetData sheetId="14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5"/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0</v>
          </cell>
          <cell r="D11">
            <v>46296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0</v>
          </cell>
          <cell r="D111">
            <v>46296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0</v>
          </cell>
          <cell r="D147">
            <v>46295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0</v>
          </cell>
          <cell r="D192">
            <v>46295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0</v>
          </cell>
          <cell r="D221">
            <v>46297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0</v>
          </cell>
          <cell r="D238">
            <v>46297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0</v>
          </cell>
          <cell r="D327">
            <v>46293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0</v>
          </cell>
          <cell r="D328">
            <v>46300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0</v>
          </cell>
          <cell r="D600">
            <v>46293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0</v>
          </cell>
          <cell r="D601">
            <v>46294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0</v>
          </cell>
          <cell r="D602">
            <v>46295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0</v>
          </cell>
          <cell r="D603">
            <v>46296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0</v>
          </cell>
          <cell r="D604">
            <v>46297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0</v>
          </cell>
          <cell r="D605">
            <v>46300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0</v>
          </cell>
          <cell r="D606">
            <v>46301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0</v>
          </cell>
          <cell r="D607">
            <v>46302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0</v>
          </cell>
          <cell r="D608">
            <v>46303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0</v>
          </cell>
          <cell r="D925">
            <v>46293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0</v>
          </cell>
          <cell r="D926">
            <v>46294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0</v>
          </cell>
          <cell r="D927">
            <v>46295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0</v>
          </cell>
          <cell r="D928">
            <v>46296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0</v>
          </cell>
          <cell r="D929">
            <v>46297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0</v>
          </cell>
          <cell r="D930">
            <v>46300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0</v>
          </cell>
          <cell r="D931">
            <v>46301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0</v>
          </cell>
          <cell r="D932">
            <v>46302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0</v>
          </cell>
          <cell r="D933">
            <v>46303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0</v>
          </cell>
          <cell r="D1002">
            <v>46301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0</v>
          </cell>
          <cell r="D1022">
            <v>46295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0</v>
          </cell>
          <cell r="D1096">
            <v>46295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0</v>
          </cell>
          <cell r="D1171">
            <v>46295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0</v>
          </cell>
          <cell r="D1488">
            <v>46293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0</v>
          </cell>
          <cell r="D1489">
            <v>46294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0</v>
          </cell>
          <cell r="D1490">
            <v>46295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0</v>
          </cell>
          <cell r="D1491">
            <v>46296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0</v>
          </cell>
          <cell r="D1492">
            <v>46297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0</v>
          </cell>
          <cell r="D1493">
            <v>46300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0</v>
          </cell>
          <cell r="D1494">
            <v>46301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0</v>
          </cell>
          <cell r="D1495">
            <v>46302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0</v>
          </cell>
          <cell r="D1496">
            <v>46303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0</v>
          </cell>
          <cell r="D1818">
            <v>46293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0</v>
          </cell>
          <cell r="D1819">
            <v>46294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0</v>
          </cell>
          <cell r="D1820">
            <v>46295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0</v>
          </cell>
          <cell r="D1821">
            <v>46296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0</v>
          </cell>
          <cell r="D1822">
            <v>46297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0</v>
          </cell>
          <cell r="D1823">
            <v>46300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0</v>
          </cell>
          <cell r="D1824">
            <v>46301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0</v>
          </cell>
          <cell r="D1825">
            <v>46302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0</v>
          </cell>
          <cell r="D1826">
            <v>46303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776E-11A8-4456-BCEA-ECCF50F7CCB5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4" customFormat="1" ht="15.75" x14ac:dyDescent="0.25">
      <c r="A1" s="76"/>
      <c r="B1" s="76"/>
      <c r="C1" s="76"/>
      <c r="D1" s="37"/>
      <c r="E1" s="37"/>
      <c r="F1" s="76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4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5">
        <v>45566</v>
      </c>
      <c r="H2" s="75">
        <v>45597</v>
      </c>
      <c r="I2" s="75">
        <v>45627</v>
      </c>
      <c r="J2" s="75">
        <v>45658</v>
      </c>
      <c r="K2" s="75">
        <v>45689</v>
      </c>
      <c r="L2" s="75">
        <v>45717</v>
      </c>
      <c r="M2" s="75">
        <v>45748</v>
      </c>
      <c r="N2" s="75">
        <v>45778</v>
      </c>
      <c r="O2" s="75">
        <v>45809</v>
      </c>
      <c r="P2" s="75">
        <v>45839</v>
      </c>
      <c r="Q2" s="75">
        <v>45870</v>
      </c>
      <c r="R2" s="75">
        <v>45901</v>
      </c>
      <c r="S2" s="75">
        <v>45931</v>
      </c>
      <c r="T2" s="75">
        <v>45962</v>
      </c>
      <c r="U2" s="75">
        <v>45992</v>
      </c>
      <c r="V2" s="75">
        <v>46023</v>
      </c>
      <c r="W2" s="75">
        <v>46054</v>
      </c>
      <c r="X2" s="75">
        <v>46082</v>
      </c>
      <c r="Y2" s="75">
        <v>46113</v>
      </c>
      <c r="Z2" s="75">
        <v>46143</v>
      </c>
      <c r="AA2" s="75">
        <v>46174</v>
      </c>
      <c r="AB2" s="75">
        <v>46204</v>
      </c>
      <c r="AC2" s="75">
        <v>46235</v>
      </c>
      <c r="AD2" s="75">
        <v>46266</v>
      </c>
      <c r="AH2" s="74" t="s">
        <v>185</v>
      </c>
    </row>
    <row r="3" spans="1:34" ht="15.75" x14ac:dyDescent="0.25">
      <c r="A3" s="10"/>
      <c r="B3" s="10" t="s">
        <v>184</v>
      </c>
      <c r="C3" s="10"/>
      <c r="D3" s="73">
        <v>46290.356863425928</v>
      </c>
      <c r="E3" s="72">
        <v>46293.678194444452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46266.429699074077</v>
      </c>
      <c r="E4" s="50">
        <v>46296.42969907407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</v>
      </c>
      <c r="AB4" s="54">
        <v>-0.5</v>
      </c>
      <c r="AC4" s="7" t="e">
        <v>#N/A</v>
      </c>
      <c r="AD4" s="7" t="e">
        <v>#N/A</v>
      </c>
      <c r="AE4" s="71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46266.429479166669</v>
      </c>
      <c r="E5" s="50">
        <v>46296.429490740731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54">
        <v>-2.1626500000000002</v>
      </c>
      <c r="Z5" s="54">
        <v>-0.19738</v>
      </c>
      <c r="AA5" s="54">
        <v>-7.3700000000000002E-2</v>
      </c>
      <c r="AB5" s="54">
        <v>-0.54086999999999996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46266.429467592592</v>
      </c>
      <c r="E6" s="20">
        <v>46296.429467592592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58">
        <v>-3.8704800000000001</v>
      </c>
      <c r="Z6" s="58">
        <v>-0.77886999999999995</v>
      </c>
      <c r="AA6" s="58">
        <v>-0.50221000000000005</v>
      </c>
      <c r="AB6" s="58">
        <v>-1.3157799999999999</v>
      </c>
      <c r="AC6" s="4" t="e">
        <v>#N/A</v>
      </c>
      <c r="AD6" s="4" t="e">
        <v>#N/A</v>
      </c>
      <c r="AH6" t="s">
        <v>21</v>
      </c>
    </row>
    <row r="7" spans="1:34" ht="16.5" thickBot="1" x14ac:dyDescent="0.3">
      <c r="A7" s="25">
        <v>1</v>
      </c>
      <c r="B7" s="25" t="s">
        <v>176</v>
      </c>
      <c r="C7" s="16" t="s">
        <v>8</v>
      </c>
      <c r="D7" s="24">
        <v>46266.429490740738</v>
      </c>
      <c r="E7" s="52">
        <v>46296.429490740731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54">
        <v>-5.6619999999999997E-2</v>
      </c>
      <c r="AB7" s="54">
        <v>-0.18709999999999999</v>
      </c>
      <c r="AC7" s="7" t="e">
        <v>#N/A</v>
      </c>
      <c r="AD7" s="7" t="e">
        <v>#N/A</v>
      </c>
      <c r="AH7" t="s">
        <v>21</v>
      </c>
    </row>
    <row r="8" spans="1:34" ht="17.25" thickTop="1" thickBot="1" x14ac:dyDescent="0.3">
      <c r="A8" s="1">
        <v>9</v>
      </c>
      <c r="B8" s="1" t="s">
        <v>174</v>
      </c>
      <c r="C8" s="16" t="s">
        <v>166</v>
      </c>
      <c r="D8" s="24">
        <v>46289.419212962966</v>
      </c>
      <c r="E8" s="50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63">
        <v>-0.78003</v>
      </c>
      <c r="AA8" s="70">
        <v>5.66038</v>
      </c>
      <c r="AB8" s="70">
        <v>-4.31548</v>
      </c>
      <c r="AC8" s="69">
        <v>6.37636</v>
      </c>
      <c r="AD8" s="7" t="e">
        <v>#N/A</v>
      </c>
      <c r="AH8" t="s">
        <v>21</v>
      </c>
    </row>
    <row r="9" spans="1:34" ht="16.5" thickTop="1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1">
        <v>46315.35601851852</v>
      </c>
      <c r="F9" s="47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4">
        <v>-9.0340514246004169</v>
      </c>
      <c r="AC10" s="54">
        <v>-2.5974025974025974</v>
      </c>
      <c r="AD10" s="7" t="e">
        <v>#N/A</v>
      </c>
      <c r="AH10" t="s">
        <v>21</v>
      </c>
    </row>
    <row r="11" spans="1:34" ht="16.5" thickBot="1" x14ac:dyDescent="0.3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9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5">
        <v>1256</v>
      </c>
      <c r="AB11" s="65">
        <v>1267</v>
      </c>
      <c r="AC11" s="65">
        <v>1271</v>
      </c>
      <c r="AD11" s="13" t="e">
        <v>#N/A</v>
      </c>
      <c r="AH11" t="s">
        <v>10</v>
      </c>
    </row>
    <row r="12" spans="1:34" ht="17.25" thickTop="1" thickBot="1" x14ac:dyDescent="0.3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7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68">
        <v>-2.0935100000000002</v>
      </c>
      <c r="AD12" s="7" t="e">
        <v>#N/A</v>
      </c>
      <c r="AH12" t="s">
        <v>21</v>
      </c>
    </row>
    <row r="13" spans="1:34" ht="17.25" thickTop="1" thickBot="1" x14ac:dyDescent="0.3">
      <c r="A13" s="25">
        <v>13</v>
      </c>
      <c r="B13" s="25" t="s">
        <v>164</v>
      </c>
      <c r="C13" s="16" t="s">
        <v>163</v>
      </c>
      <c r="D13" s="15">
        <v>46289.501689814817</v>
      </c>
      <c r="E13" s="52">
        <v>46296.501689814817</v>
      </c>
      <c r="F13" s="43" t="s">
        <v>162</v>
      </c>
      <c r="G13" s="40">
        <v>6.43</v>
      </c>
      <c r="H13" s="40">
        <v>6.81</v>
      </c>
      <c r="I13" s="40">
        <v>6.72</v>
      </c>
      <c r="J13" s="40">
        <v>6.96</v>
      </c>
      <c r="K13" s="40">
        <v>6.84</v>
      </c>
      <c r="L13" s="40">
        <v>6.65</v>
      </c>
      <c r="M13" s="40">
        <v>6.73</v>
      </c>
      <c r="N13" s="40">
        <v>6.82</v>
      </c>
      <c r="O13" s="40">
        <v>6.82</v>
      </c>
      <c r="P13" s="40">
        <v>6.72</v>
      </c>
      <c r="Q13" s="40">
        <v>6.59</v>
      </c>
      <c r="R13" s="40">
        <v>6.35</v>
      </c>
      <c r="S13" s="40">
        <v>6.25</v>
      </c>
      <c r="T13" s="40">
        <v>6.24</v>
      </c>
      <c r="U13" s="40">
        <v>6.19</v>
      </c>
      <c r="V13" s="40">
        <v>6.1</v>
      </c>
      <c r="W13" s="40">
        <v>6.05</v>
      </c>
      <c r="X13" s="40">
        <v>6.18</v>
      </c>
      <c r="Y13" s="40">
        <v>6.33</v>
      </c>
      <c r="Z13" s="40">
        <v>6.44</v>
      </c>
      <c r="AA13" s="40">
        <v>6.49</v>
      </c>
      <c r="AB13" s="40">
        <v>6.54</v>
      </c>
      <c r="AC13" s="40">
        <v>6.67</v>
      </c>
      <c r="AD13" s="67">
        <v>6.86</v>
      </c>
      <c r="AH13" t="s">
        <v>44</v>
      </c>
    </row>
    <row r="14" spans="1:34" ht="16.5" thickTop="1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6"/>
      <c r="W14" s="66"/>
      <c r="X14" s="66"/>
      <c r="Y14" s="66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46269.596238425926</v>
      </c>
      <c r="E16" s="50">
        <v>46295.596238425933</v>
      </c>
      <c r="F16" s="1" t="s">
        <v>159</v>
      </c>
      <c r="G16" s="7">
        <v>16.029</v>
      </c>
      <c r="H16" s="7">
        <v>16.417000000000002</v>
      </c>
      <c r="I16" s="7">
        <v>16.84</v>
      </c>
      <c r="J16" s="7">
        <v>15.476000000000001</v>
      </c>
      <c r="K16" s="7">
        <v>15.974</v>
      </c>
      <c r="L16" s="7">
        <v>17.891999999999999</v>
      </c>
      <c r="M16" s="7">
        <v>17.132000000000001</v>
      </c>
      <c r="N16" s="7">
        <v>15.589</v>
      </c>
      <c r="O16" s="7">
        <v>15.829000000000001</v>
      </c>
      <c r="P16" s="7">
        <v>16.576000000000001</v>
      </c>
      <c r="Q16" s="7">
        <v>16.5</v>
      </c>
      <c r="R16" s="7">
        <v>16.600999999999999</v>
      </c>
      <c r="S16" s="7">
        <v>15.505000000000001</v>
      </c>
      <c r="T16" s="7">
        <v>15.669</v>
      </c>
      <c r="U16" s="7">
        <v>16.007999999999999</v>
      </c>
      <c r="V16" s="7">
        <v>14.61</v>
      </c>
      <c r="W16" s="7">
        <v>15.516999999999999</v>
      </c>
      <c r="X16" s="7">
        <v>16.292999999999999</v>
      </c>
      <c r="Y16" s="7">
        <v>16.253</v>
      </c>
      <c r="Z16" s="7">
        <v>16.318000000000001</v>
      </c>
      <c r="AA16" s="7">
        <v>16.738</v>
      </c>
      <c r="AB16" s="7">
        <v>16.32</v>
      </c>
      <c r="AC16" s="28">
        <v>16.763999999999999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2">
        <v>1.36</v>
      </c>
      <c r="H17" s="42">
        <v>1.3160000000000001</v>
      </c>
      <c r="I17" s="42">
        <v>1.3029999999999999</v>
      </c>
      <c r="J17" s="42">
        <v>1.3380000000000001</v>
      </c>
      <c r="K17" s="42">
        <v>1.216</v>
      </c>
      <c r="L17" s="42">
        <v>1.085</v>
      </c>
      <c r="M17" s="42">
        <v>1.2150000000000001</v>
      </c>
      <c r="N17" s="42">
        <v>1.4059999999999999</v>
      </c>
      <c r="O17" s="42">
        <v>1.448</v>
      </c>
      <c r="P17" s="42">
        <v>1.5289999999999999</v>
      </c>
      <c r="Q17" s="42">
        <v>1.454</v>
      </c>
      <c r="R17" s="42">
        <v>1.48</v>
      </c>
      <c r="S17" s="42">
        <v>1.611</v>
      </c>
      <c r="T17" s="42">
        <v>1.5069999999999999</v>
      </c>
      <c r="U17" s="42">
        <v>1.204</v>
      </c>
      <c r="V17" s="42">
        <v>1.325</v>
      </c>
      <c r="W17" s="42">
        <v>1.284</v>
      </c>
      <c r="X17" s="42">
        <v>1.3959999999999999</v>
      </c>
      <c r="Y17" s="42">
        <v>1.403</v>
      </c>
      <c r="Z17" s="42">
        <v>1.395</v>
      </c>
      <c r="AA17" s="42">
        <v>1.4119999999999999</v>
      </c>
      <c r="AB17" s="48">
        <v>1.361</v>
      </c>
      <c r="AC17" s="42" t="e">
        <v>#N/A</v>
      </c>
      <c r="AD17" s="42" t="e">
        <v>#N/A</v>
      </c>
      <c r="AE17" s="42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46269.596238425926</v>
      </c>
      <c r="E18" s="20">
        <v>46295.596238425933</v>
      </c>
      <c r="F18" s="6" t="s">
        <v>155</v>
      </c>
      <c r="G18" s="4">
        <v>2.0270000000000001</v>
      </c>
      <c r="H18" s="4">
        <v>1.9990000000000001</v>
      </c>
      <c r="I18" s="4">
        <v>1.919</v>
      </c>
      <c r="J18" s="4">
        <v>1.861</v>
      </c>
      <c r="K18" s="4">
        <v>1.9790000000000001</v>
      </c>
      <c r="L18" s="4">
        <v>2.1059999999999999</v>
      </c>
      <c r="M18" s="4">
        <v>1.9079999999999999</v>
      </c>
      <c r="N18" s="4">
        <v>1.722</v>
      </c>
      <c r="O18" s="4">
        <v>1.7669999999999999</v>
      </c>
      <c r="P18" s="4">
        <v>1.744</v>
      </c>
      <c r="Q18" s="4">
        <v>1.8009999999999999</v>
      </c>
      <c r="R18" s="4">
        <v>1.708</v>
      </c>
      <c r="S18" s="4">
        <v>1.6160000000000001</v>
      </c>
      <c r="T18" s="4">
        <v>1.589</v>
      </c>
      <c r="U18" s="4">
        <v>1.8220000000000001</v>
      </c>
      <c r="V18" s="4">
        <v>1.6319999999999999</v>
      </c>
      <c r="W18" s="4">
        <v>1.7010000000000001</v>
      </c>
      <c r="X18" s="4">
        <v>1.7030000000000001</v>
      </c>
      <c r="Y18" s="4">
        <v>1.8140000000000001</v>
      </c>
      <c r="Z18" s="4">
        <v>1.8320000000000001</v>
      </c>
      <c r="AA18" s="4">
        <v>1.865</v>
      </c>
      <c r="AB18" s="58">
        <v>1.829</v>
      </c>
      <c r="AC18" s="58">
        <v>1.821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95.85</v>
      </c>
      <c r="W19" s="7">
        <v>95.259</v>
      </c>
      <c r="X19" s="7">
        <v>105.95399999999999</v>
      </c>
      <c r="Y19" s="7">
        <v>106.767</v>
      </c>
      <c r="Z19" s="7">
        <v>105.489</v>
      </c>
      <c r="AA19" s="7">
        <v>107.729</v>
      </c>
      <c r="AB19" s="54">
        <v>100.72499999999999</v>
      </c>
      <c r="AC19" s="7" t="e">
        <v>#N/A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46269.394143518519</v>
      </c>
      <c r="E22" s="50">
        <v>46297.394143518526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65">
        <v>214</v>
      </c>
      <c r="Y22" s="65">
        <v>148</v>
      </c>
      <c r="Z22" s="65">
        <v>63</v>
      </c>
      <c r="AA22" s="65">
        <v>31</v>
      </c>
      <c r="AB22" s="65">
        <v>21</v>
      </c>
      <c r="AC22" s="65">
        <v>162</v>
      </c>
      <c r="AD22" s="64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46269.394108796296</v>
      </c>
      <c r="E23" s="50">
        <v>46297.394108796288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4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46269.394108796296</v>
      </c>
      <c r="E24" s="51">
        <v>46297.394108796288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29">
        <v>4.3</v>
      </c>
      <c r="Y24" s="29">
        <v>4.3</v>
      </c>
      <c r="Z24" s="29">
        <v>4.3</v>
      </c>
      <c r="AA24" s="29">
        <v>4.2</v>
      </c>
      <c r="AB24" s="29">
        <v>4.0999999999999996</v>
      </c>
      <c r="AC24" s="29">
        <v>4.0999999999999996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46269.395682870374</v>
      </c>
      <c r="E25" s="52">
        <v>46297.395682870381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46269.395185185182</v>
      </c>
      <c r="E26" s="50">
        <v>46297.395185185189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50">
        <v>46311.38898148149</v>
      </c>
      <c r="F29" s="49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50">
        <v>46311.387928240743</v>
      </c>
      <c r="F30" s="49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4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6.5" thickBot="1" x14ac:dyDescent="0.3">
      <c r="A31" s="6">
        <v>109</v>
      </c>
      <c r="B31" s="6" t="s">
        <v>134</v>
      </c>
      <c r="C31" s="22" t="s">
        <v>8</v>
      </c>
      <c r="D31" s="21">
        <v>46267.421944444446</v>
      </c>
      <c r="E31" s="51">
        <v>46297.421944444446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8">
        <v>0.88568999999999998</v>
      </c>
      <c r="AC31" s="7" t="e">
        <v>#N/A</v>
      </c>
      <c r="AD31" s="4" t="e">
        <v>#N/A</v>
      </c>
      <c r="AH31" t="s">
        <v>21</v>
      </c>
    </row>
    <row r="32" spans="1:34" ht="17.25" thickTop="1" thickBot="1" x14ac:dyDescent="0.3">
      <c r="A32" s="25">
        <v>105</v>
      </c>
      <c r="B32" s="25" t="s">
        <v>132</v>
      </c>
      <c r="C32" s="16" t="s">
        <v>8</v>
      </c>
      <c r="D32" s="15">
        <v>46290.356863425928</v>
      </c>
      <c r="E32" s="52">
        <v>46297.356863425928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63">
        <v>0.85860000000000003</v>
      </c>
      <c r="AC32" s="62">
        <v>-1.7129999999999999E-2</v>
      </c>
      <c r="AD32" s="7" t="e">
        <v>#N/A</v>
      </c>
      <c r="AH32" t="s">
        <v>21</v>
      </c>
    </row>
    <row r="33" spans="1:34" ht="17.25" thickTop="1" thickBot="1" x14ac:dyDescent="0.3">
      <c r="A33" s="1">
        <v>103</v>
      </c>
      <c r="B33" s="1" t="s">
        <v>130</v>
      </c>
      <c r="C33" s="16" t="s">
        <v>8</v>
      </c>
      <c r="D33" s="24">
        <v>46290.356828703705</v>
      </c>
      <c r="E33" s="23">
        <v>46297.356828703705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61">
        <v>1.4258299999999999</v>
      </c>
      <c r="AC33" s="60">
        <v>0.57982999999999996</v>
      </c>
      <c r="AD33" s="7" t="e">
        <v>#N/A</v>
      </c>
      <c r="AH33" t="s">
        <v>21</v>
      </c>
    </row>
    <row r="34" spans="1:34" ht="16.5" thickTop="1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4">
        <v>6.1599999999999997E-3</v>
      </c>
      <c r="W36" s="54">
        <v>0.35142000000000001</v>
      </c>
      <c r="X36" s="54">
        <v>0.99070000000000003</v>
      </c>
      <c r="Y36" s="54">
        <v>0.56176000000000004</v>
      </c>
      <c r="Z36" s="54">
        <v>0.40539999999999998</v>
      </c>
      <c r="AA36" s="54">
        <v>0.1216</v>
      </c>
      <c r="AB36" s="54">
        <v>0.80855999999999995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2">
        <v>1.41</v>
      </c>
      <c r="H37" s="42">
        <v>1.4</v>
      </c>
      <c r="I37" s="42">
        <v>1.39</v>
      </c>
      <c r="J37" s="42">
        <v>1.4</v>
      </c>
      <c r="K37" s="42">
        <v>1.39</v>
      </c>
      <c r="L37" s="42">
        <v>1.38</v>
      </c>
      <c r="M37" s="42">
        <v>1.38</v>
      </c>
      <c r="N37" s="42">
        <v>1.39</v>
      </c>
      <c r="O37" s="42">
        <v>1.39</v>
      </c>
      <c r="P37" s="42">
        <v>1.37</v>
      </c>
      <c r="Q37" s="42">
        <v>1.37</v>
      </c>
      <c r="R37" s="42">
        <v>1.37</v>
      </c>
      <c r="S37" s="42">
        <v>1.38</v>
      </c>
      <c r="T37" s="42">
        <v>1.37</v>
      </c>
      <c r="U37" s="42">
        <v>1.36</v>
      </c>
      <c r="V37" s="42">
        <v>1.35</v>
      </c>
      <c r="W37" s="42">
        <v>1.33</v>
      </c>
      <c r="X37" s="42">
        <v>1.32</v>
      </c>
      <c r="Y37" s="42">
        <v>1.3</v>
      </c>
      <c r="Z37" s="42">
        <v>1.28</v>
      </c>
      <c r="AA37" s="42">
        <v>1.3</v>
      </c>
      <c r="AB37" s="48">
        <v>1.3</v>
      </c>
      <c r="AC37" s="42" t="e">
        <v>#N/A</v>
      </c>
      <c r="AD37" s="42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58">
        <v>0.8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46297.421932870377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4">
        <v>0.44978000000000001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4">
        <v>3.2859600000000002</v>
      </c>
      <c r="Y42" s="54">
        <v>3.7792500000000002</v>
      </c>
      <c r="Z42" s="54">
        <v>4.1666100000000004</v>
      </c>
      <c r="AA42" s="54">
        <v>3.46353</v>
      </c>
      <c r="AB42" s="54">
        <v>3.3038599999999998</v>
      </c>
      <c r="AC42" s="54">
        <v>3.3530199999999999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4">
        <v>2.5808499999999999</v>
      </c>
      <c r="U43" s="54">
        <v>2.9889899999999998</v>
      </c>
      <c r="V43" s="54">
        <v>2.8765000000000001</v>
      </c>
      <c r="W43" s="54">
        <v>3.0527899999999999</v>
      </c>
      <c r="X43" s="54">
        <v>2.6852800000000001</v>
      </c>
      <c r="Y43" s="54">
        <v>3.1423999999999999</v>
      </c>
      <c r="Z43" s="54">
        <v>3.02291</v>
      </c>
      <c r="AA43" s="54">
        <v>2.9311199999999999</v>
      </c>
      <c r="AB43" s="54">
        <v>2.8907099999999999</v>
      </c>
      <c r="AC43" s="54">
        <v>2.5751400000000002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58">
        <v>0.39950999999999998</v>
      </c>
      <c r="X44" s="58">
        <v>12.589549999999999</v>
      </c>
      <c r="Y44" s="58">
        <v>17.536049999999999</v>
      </c>
      <c r="Z44" s="58">
        <v>22.97287</v>
      </c>
      <c r="AA44" s="58">
        <v>15.451370000000001</v>
      </c>
      <c r="AB44" s="58">
        <v>14.44533</v>
      </c>
      <c r="AC44" s="58">
        <v>16.04935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50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1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ht="15.75" x14ac:dyDescent="0.25">
      <c r="A51" s="49">
        <v>115</v>
      </c>
      <c r="B51" s="49" t="s">
        <v>101</v>
      </c>
      <c r="C51" s="16" t="s">
        <v>100</v>
      </c>
      <c r="D51" s="24">
        <v>46251.618888888886</v>
      </c>
      <c r="E51" s="50">
        <v>46296.618888888886</v>
      </c>
      <c r="F51" s="49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46288.553807870368</v>
      </c>
      <c r="E52" s="14">
        <v>46295.553807870368</v>
      </c>
      <c r="F52" s="25" t="s">
        <v>97</v>
      </c>
      <c r="G52" s="42">
        <v>71.989999999999995</v>
      </c>
      <c r="H52" s="42">
        <v>69.95</v>
      </c>
      <c r="I52" s="42">
        <v>70.12</v>
      </c>
      <c r="J52" s="42">
        <v>75.739999999999995</v>
      </c>
      <c r="K52" s="42">
        <v>71.53</v>
      </c>
      <c r="L52" s="42">
        <v>68.239999999999995</v>
      </c>
      <c r="M52" s="42">
        <v>63.54</v>
      </c>
      <c r="N52" s="42">
        <v>62.17</v>
      </c>
      <c r="O52" s="42">
        <v>68.17</v>
      </c>
      <c r="P52" s="42">
        <v>68.39</v>
      </c>
      <c r="Q52" s="42">
        <v>64.86</v>
      </c>
      <c r="R52" s="42">
        <v>63.96</v>
      </c>
      <c r="S52" s="42">
        <v>60.89</v>
      </c>
      <c r="T52" s="42">
        <v>60.06</v>
      </c>
      <c r="U52" s="42">
        <v>57.97</v>
      </c>
      <c r="V52" s="42">
        <v>60.04</v>
      </c>
      <c r="W52" s="42">
        <v>64.510000000000005</v>
      </c>
      <c r="X52" s="42">
        <v>91.38</v>
      </c>
      <c r="Y52" s="42">
        <v>100.32</v>
      </c>
      <c r="Z52" s="42">
        <v>102.13</v>
      </c>
      <c r="AA52" s="42">
        <v>84.81</v>
      </c>
      <c r="AB52" s="42">
        <v>80.459999999999994</v>
      </c>
      <c r="AC52" s="41">
        <v>83.9</v>
      </c>
      <c r="AD52" s="40" t="s">
        <v>35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46288.553807870368</v>
      </c>
      <c r="E53" s="20">
        <v>46295.553807870368</v>
      </c>
      <c r="F53" s="6" t="s">
        <v>95</v>
      </c>
      <c r="G53" s="46">
        <v>75.63</v>
      </c>
      <c r="H53" s="46">
        <v>74.349999999999994</v>
      </c>
      <c r="I53" s="46">
        <v>73.86</v>
      </c>
      <c r="J53" s="46">
        <v>79.27</v>
      </c>
      <c r="K53" s="46">
        <v>75.44</v>
      </c>
      <c r="L53" s="46">
        <v>72.73</v>
      </c>
      <c r="M53" s="46">
        <v>68.13</v>
      </c>
      <c r="N53" s="46">
        <v>64.45</v>
      </c>
      <c r="O53" s="46">
        <v>71.44</v>
      </c>
      <c r="P53" s="46">
        <v>71.040000000000006</v>
      </c>
      <c r="Q53" s="46">
        <v>67.87</v>
      </c>
      <c r="R53" s="46">
        <v>67.989999999999995</v>
      </c>
      <c r="S53" s="46">
        <v>64.540000000000006</v>
      </c>
      <c r="T53" s="46">
        <v>63.8</v>
      </c>
      <c r="U53" s="46">
        <v>62.54</v>
      </c>
      <c r="V53" s="46">
        <v>66.599999999999994</v>
      </c>
      <c r="W53" s="46">
        <v>70.89</v>
      </c>
      <c r="X53" s="46">
        <v>103.13</v>
      </c>
      <c r="Y53" s="46">
        <v>117.29</v>
      </c>
      <c r="Z53" s="46">
        <v>107.14</v>
      </c>
      <c r="AA53" s="46">
        <v>85.4</v>
      </c>
      <c r="AB53" s="46">
        <v>83.76</v>
      </c>
      <c r="AC53" s="45">
        <v>91.08</v>
      </c>
      <c r="AD53" s="44" t="s">
        <v>35</v>
      </c>
      <c r="AH53" t="s">
        <v>6</v>
      </c>
    </row>
    <row r="54" spans="1:34" ht="15.75" x14ac:dyDescent="0.25">
      <c r="A54" s="57">
        <v>117</v>
      </c>
      <c r="B54" s="57" t="s">
        <v>94</v>
      </c>
      <c r="C54" s="16" t="s">
        <v>93</v>
      </c>
      <c r="D54" s="24">
        <v>46288.564143518517</v>
      </c>
      <c r="E54" s="23">
        <v>46295.56414351851</v>
      </c>
      <c r="F54" s="57" t="s">
        <v>92</v>
      </c>
      <c r="G54" s="42">
        <v>2.2000000000000002</v>
      </c>
      <c r="H54" s="42">
        <v>2.12</v>
      </c>
      <c r="I54" s="42">
        <v>3.01</v>
      </c>
      <c r="J54" s="42">
        <v>4.13</v>
      </c>
      <c r="K54" s="42">
        <v>4.1900000000000004</v>
      </c>
      <c r="L54" s="42">
        <v>4.12</v>
      </c>
      <c r="M54" s="42">
        <v>3.42</v>
      </c>
      <c r="N54" s="42">
        <v>3.12</v>
      </c>
      <c r="O54" s="42">
        <v>3.02</v>
      </c>
      <c r="P54" s="42">
        <v>3.2</v>
      </c>
      <c r="Q54" s="42">
        <v>2.91</v>
      </c>
      <c r="R54" s="42">
        <v>2.97</v>
      </c>
      <c r="S54" s="42">
        <v>3.19</v>
      </c>
      <c r="T54" s="42">
        <v>3.79</v>
      </c>
      <c r="U54" s="42">
        <v>4.26</v>
      </c>
      <c r="V54" s="42">
        <v>7.72</v>
      </c>
      <c r="W54" s="42">
        <v>3.62</v>
      </c>
      <c r="X54" s="42">
        <v>3.04</v>
      </c>
      <c r="Y54" s="42">
        <v>2.77</v>
      </c>
      <c r="Z54" s="42">
        <v>2.94</v>
      </c>
      <c r="AA54" s="42">
        <v>3.14</v>
      </c>
      <c r="AB54" s="48">
        <v>2.89</v>
      </c>
      <c r="AC54" s="48">
        <v>2.79</v>
      </c>
      <c r="AD54" s="40" t="s">
        <v>35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>
        <v>2025</v>
      </c>
      <c r="K56" s="56" t="s">
        <v>35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>
        <v>2026</v>
      </c>
      <c r="W56" s="56" t="s">
        <v>35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5">
        <v>45566</v>
      </c>
      <c r="H57" s="55">
        <v>45597</v>
      </c>
      <c r="I57" s="55">
        <v>45627</v>
      </c>
      <c r="J57" s="55">
        <v>45658</v>
      </c>
      <c r="K57" s="55">
        <v>45689</v>
      </c>
      <c r="L57" s="55">
        <v>45717</v>
      </c>
      <c r="M57" s="55">
        <v>45748</v>
      </c>
      <c r="N57" s="55">
        <v>45778</v>
      </c>
      <c r="O57" s="55">
        <v>45809</v>
      </c>
      <c r="P57" s="55">
        <v>45839</v>
      </c>
      <c r="Q57" s="55">
        <v>45870</v>
      </c>
      <c r="R57" s="55">
        <v>45901</v>
      </c>
      <c r="S57" s="55">
        <v>45931</v>
      </c>
      <c r="T57" s="55">
        <v>45962</v>
      </c>
      <c r="U57" s="55">
        <v>45992</v>
      </c>
      <c r="V57" s="55">
        <v>46023</v>
      </c>
      <c r="W57" s="55">
        <v>46054</v>
      </c>
      <c r="X57" s="55">
        <v>46082</v>
      </c>
      <c r="Y57" s="55">
        <v>46113</v>
      </c>
      <c r="Z57" s="55">
        <v>46143</v>
      </c>
      <c r="AA57" s="55">
        <v>46174</v>
      </c>
      <c r="AB57" s="55">
        <v>46204</v>
      </c>
      <c r="AC57" s="55">
        <v>46235</v>
      </c>
      <c r="AD57" s="55">
        <v>46266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46260.363738425927</v>
      </c>
      <c r="E58" s="23">
        <v>46295.36373842592</v>
      </c>
      <c r="F58" s="1" t="s">
        <v>88</v>
      </c>
      <c r="G58" s="7">
        <v>0.44841999999999999</v>
      </c>
      <c r="H58" s="7">
        <v>0.52200999999999997</v>
      </c>
      <c r="I58" s="7">
        <v>0.38313999999999998</v>
      </c>
      <c r="J58" s="7">
        <v>0.32252999999999998</v>
      </c>
      <c r="K58" s="7">
        <v>0.51329999999999998</v>
      </c>
      <c r="L58" s="7">
        <v>0.54978000000000005</v>
      </c>
      <c r="M58" s="7">
        <v>1.56E-3</v>
      </c>
      <c r="N58" s="7">
        <v>6.0659999999999999E-2</v>
      </c>
      <c r="O58" s="7">
        <v>-6.2179999999999999E-2</v>
      </c>
      <c r="P58" s="28">
        <v>0.97377000000000002</v>
      </c>
      <c r="Q58" s="28">
        <v>0.54612000000000005</v>
      </c>
      <c r="R58" s="28">
        <v>0.44968999999999998</v>
      </c>
      <c r="S58" s="28">
        <v>2.1350000000000001E-2</v>
      </c>
      <c r="T58" s="28">
        <v>0.24323</v>
      </c>
      <c r="U58" s="28">
        <v>9.1299999999999992E-3</v>
      </c>
      <c r="V58" s="28">
        <v>0.51946999999999999</v>
      </c>
      <c r="W58" s="28">
        <v>0.12636</v>
      </c>
      <c r="X58" s="28">
        <v>0.42620999999999998</v>
      </c>
      <c r="Y58" s="28">
        <v>0.28519</v>
      </c>
      <c r="Z58" s="28">
        <v>0.35341</v>
      </c>
      <c r="AA58" s="28">
        <v>0.14580000000000001</v>
      </c>
      <c r="AB58" s="28">
        <v>0.29192000000000001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46260.363738425927</v>
      </c>
      <c r="E59" s="23">
        <v>46295.36373842592</v>
      </c>
      <c r="F59" s="1" t="s">
        <v>86</v>
      </c>
      <c r="G59" s="7">
        <v>0.49918000000000001</v>
      </c>
      <c r="H59" s="7">
        <v>0.37857000000000002</v>
      </c>
      <c r="I59" s="7">
        <v>0.38108999999999998</v>
      </c>
      <c r="J59" s="7">
        <v>0.59758999999999995</v>
      </c>
      <c r="K59" s="7">
        <v>0.52756000000000003</v>
      </c>
      <c r="L59" s="7">
        <v>0.66873000000000005</v>
      </c>
      <c r="M59" s="7">
        <v>0.71028000000000002</v>
      </c>
      <c r="N59" s="7">
        <v>-0.51915999999999995</v>
      </c>
      <c r="O59" s="7">
        <v>0.19247</v>
      </c>
      <c r="P59" s="7">
        <v>0.66947000000000001</v>
      </c>
      <c r="Q59" s="7">
        <v>0.4914</v>
      </c>
      <c r="R59" s="7">
        <v>0.39157999999999998</v>
      </c>
      <c r="S59" s="7">
        <v>-6.0269999999999997E-2</v>
      </c>
      <c r="T59" s="7">
        <v>0.23213</v>
      </c>
      <c r="U59" s="7">
        <v>0.21532000000000001</v>
      </c>
      <c r="V59" s="7">
        <v>0.48105999999999999</v>
      </c>
      <c r="W59" s="7">
        <v>-4.8480000000000002E-2</v>
      </c>
      <c r="X59" s="28">
        <v>0.53463000000000005</v>
      </c>
      <c r="Y59" s="28">
        <v>9.7610000000000002E-2</v>
      </c>
      <c r="Z59" s="28">
        <v>0.69230000000000003</v>
      </c>
      <c r="AA59" s="28">
        <v>0.17957999999999999</v>
      </c>
      <c r="AB59" s="28">
        <v>0.42630000000000001</v>
      </c>
      <c r="AC59" s="7" t="e">
        <v>#N/A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46260.36377314815</v>
      </c>
      <c r="E60" s="20">
        <v>46295.363773148158</v>
      </c>
      <c r="F60" s="6" t="s">
        <v>84</v>
      </c>
      <c r="G60" s="4">
        <v>0.49496000000000001</v>
      </c>
      <c r="H60" s="4">
        <v>0.34367999999999999</v>
      </c>
      <c r="I60" s="4">
        <v>0.36677999999999999</v>
      </c>
      <c r="J60" s="4">
        <v>0.47471000000000002</v>
      </c>
      <c r="K60" s="4">
        <v>0.51749000000000001</v>
      </c>
      <c r="L60" s="4">
        <v>0.67845</v>
      </c>
      <c r="M60" s="4">
        <v>0.74302999999999997</v>
      </c>
      <c r="N60" s="4">
        <v>-0.65798000000000001</v>
      </c>
      <c r="O60" s="4">
        <v>0.18264</v>
      </c>
      <c r="P60" s="4">
        <v>0.61060999999999999</v>
      </c>
      <c r="Q60" s="4">
        <v>0.46238000000000001</v>
      </c>
      <c r="R60" s="4">
        <v>0.35898999999999998</v>
      </c>
      <c r="S60" s="4">
        <v>-0.12472</v>
      </c>
      <c r="T60" s="4">
        <v>0.20813000000000001</v>
      </c>
      <c r="U60" s="4">
        <v>0.23841999999999999</v>
      </c>
      <c r="V60" s="4">
        <v>0.99283999999999994</v>
      </c>
      <c r="W60" s="4">
        <v>-5.7700000000000001E-2</v>
      </c>
      <c r="X60" s="29">
        <v>0.54742000000000002</v>
      </c>
      <c r="Y60" s="29">
        <v>8.0800000000000004E-3</v>
      </c>
      <c r="Z60" s="29">
        <v>0.72218000000000004</v>
      </c>
      <c r="AA60" s="29">
        <v>0.21154999999999999</v>
      </c>
      <c r="AB60" s="29">
        <v>0.53049999999999997</v>
      </c>
      <c r="AC60" s="4" t="e">
        <v>#N/A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0.17829999999999999</v>
      </c>
      <c r="H61" s="7">
        <v>0.18373</v>
      </c>
      <c r="I61" s="7">
        <v>5.3490000000000003E-2</v>
      </c>
      <c r="J61" s="7">
        <v>8.7830000000000005E-2</v>
      </c>
      <c r="K61" s="7">
        <v>8.2030000000000006E-2</v>
      </c>
      <c r="L61" s="7">
        <v>0.62707999999999997</v>
      </c>
      <c r="M61" s="7">
        <v>0.53605000000000003</v>
      </c>
      <c r="N61" s="7">
        <v>-0.88173999999999997</v>
      </c>
      <c r="O61" s="7">
        <v>-0.15207000000000001</v>
      </c>
      <c r="P61" s="7">
        <v>0.40167999999999998</v>
      </c>
      <c r="Q61" s="7">
        <v>0.16875000000000001</v>
      </c>
      <c r="R61" s="7">
        <v>6.8140000000000006E-2</v>
      </c>
      <c r="S61" s="7">
        <v>-0.34238000000000002</v>
      </c>
      <c r="T61" s="7">
        <v>-3.227E-2</v>
      </c>
      <c r="U61" s="7">
        <v>-0.10823000000000001</v>
      </c>
      <c r="V61" s="7">
        <v>0.62916000000000005</v>
      </c>
      <c r="W61" s="7">
        <v>-0.46655999999999997</v>
      </c>
      <c r="X61" s="7">
        <v>-0.13284000000000001</v>
      </c>
      <c r="Y61" s="7">
        <v>-0.42186000000000001</v>
      </c>
      <c r="Z61" s="28">
        <v>0.21945999999999999</v>
      </c>
      <c r="AA61" s="28">
        <v>0.28372000000000003</v>
      </c>
      <c r="AB61" s="28">
        <v>0.34747</v>
      </c>
      <c r="AC61" s="7" t="e">
        <v>#N/A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5</v>
      </c>
      <c r="H62" s="7">
        <v>4.9000000000000004</v>
      </c>
      <c r="I62" s="7">
        <v>4.3</v>
      </c>
      <c r="J62" s="7">
        <v>5.0999999999999996</v>
      </c>
      <c r="K62" s="7">
        <v>5.2</v>
      </c>
      <c r="L62" s="7">
        <v>5.0999999999999996</v>
      </c>
      <c r="M62" s="7">
        <v>5.5</v>
      </c>
      <c r="N62" s="7">
        <v>4.9000000000000004</v>
      </c>
      <c r="O62" s="7">
        <v>4.5999999999999996</v>
      </c>
      <c r="P62" s="7">
        <v>4.5</v>
      </c>
      <c r="Q62" s="7">
        <v>4.4000000000000004</v>
      </c>
      <c r="R62" s="7">
        <v>4.3</v>
      </c>
      <c r="S62" s="7">
        <v>3.9</v>
      </c>
      <c r="T62" s="7">
        <v>3.8</v>
      </c>
      <c r="U62" s="7">
        <v>3.6</v>
      </c>
      <c r="V62" s="7">
        <v>4.4000000000000004</v>
      </c>
      <c r="W62" s="7">
        <v>3.8</v>
      </c>
      <c r="X62" s="7">
        <v>3.5</v>
      </c>
      <c r="Y62" s="7">
        <v>2.9</v>
      </c>
      <c r="Z62" s="7">
        <v>2.8</v>
      </c>
      <c r="AA62" s="7">
        <v>2.6</v>
      </c>
      <c r="AB62" s="28">
        <v>3</v>
      </c>
      <c r="AC62" s="7" t="e">
        <v>#N/A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0.38912999999999998</v>
      </c>
      <c r="H63" s="4">
        <v>0.43310999999999999</v>
      </c>
      <c r="I63" s="4">
        <v>0.98801000000000005</v>
      </c>
      <c r="J63" s="4">
        <v>-0.25396999999999997</v>
      </c>
      <c r="K63" s="29">
        <v>0.28149000000000002</v>
      </c>
      <c r="L63" s="29">
        <v>0.79532999999999998</v>
      </c>
      <c r="M63" s="29">
        <v>0.30653000000000002</v>
      </c>
      <c r="N63" s="29">
        <v>4.1450000000000001E-2</v>
      </c>
      <c r="O63" s="29">
        <v>0.54637000000000002</v>
      </c>
      <c r="P63" s="29">
        <v>0.66559999999999997</v>
      </c>
      <c r="Q63" s="29">
        <v>0.55457000000000001</v>
      </c>
      <c r="R63" s="29">
        <v>0.37208999999999998</v>
      </c>
      <c r="S63" s="29">
        <v>0.4042</v>
      </c>
      <c r="T63" s="29">
        <v>0.31896000000000002</v>
      </c>
      <c r="U63" s="29">
        <v>0.42096</v>
      </c>
      <c r="V63" s="29">
        <v>0.15293999999999999</v>
      </c>
      <c r="W63" s="29">
        <v>0.61782000000000004</v>
      </c>
      <c r="X63" s="29">
        <v>0.94071000000000005</v>
      </c>
      <c r="Y63" s="29">
        <v>0.61792999999999998</v>
      </c>
      <c r="Z63" s="29">
        <v>0.85331999999999997</v>
      </c>
      <c r="AA63" s="29">
        <v>0.34964000000000001</v>
      </c>
      <c r="AB63" s="29">
        <v>0.16295999999999999</v>
      </c>
      <c r="AC63" s="4" t="e">
        <v>#N/A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46260.363726851851</v>
      </c>
      <c r="E64" s="14">
        <v>46295.363726851851</v>
      </c>
      <c r="F64" s="25" t="s">
        <v>76</v>
      </c>
      <c r="G64" s="7">
        <v>0.12263</v>
      </c>
      <c r="H64" s="7">
        <v>0.31880999999999998</v>
      </c>
      <c r="I64" s="7">
        <v>0.71167999999999998</v>
      </c>
      <c r="J64" s="7">
        <v>-0.60309000000000001</v>
      </c>
      <c r="K64" s="7">
        <v>-0.11951000000000001</v>
      </c>
      <c r="L64" s="7">
        <v>0.77866999999999997</v>
      </c>
      <c r="M64" s="7">
        <v>0.14004</v>
      </c>
      <c r="N64" s="7">
        <v>-0.13983999999999999</v>
      </c>
      <c r="O64" s="7">
        <v>0.25816</v>
      </c>
      <c r="P64" s="7">
        <v>0.49313000000000001</v>
      </c>
      <c r="Q64" s="7">
        <v>0.29188999999999998</v>
      </c>
      <c r="R64" s="7">
        <v>0.11147</v>
      </c>
      <c r="S64" s="7">
        <v>0.21065999999999999</v>
      </c>
      <c r="T64" s="7">
        <v>9.8500000000000004E-2</v>
      </c>
      <c r="U64" s="7">
        <v>9.0010000000000007E-2</v>
      </c>
      <c r="V64" s="7">
        <v>-0.19303999999999999</v>
      </c>
      <c r="W64" s="28">
        <v>0.21684</v>
      </c>
      <c r="X64" s="28">
        <v>0.27271000000000001</v>
      </c>
      <c r="Y64" s="28">
        <v>0.19964000000000001</v>
      </c>
      <c r="Z64" s="28">
        <v>0.36985000000000001</v>
      </c>
      <c r="AA64" s="28">
        <v>0.44278000000000001</v>
      </c>
      <c r="AB64" s="28">
        <v>7.6899999999999998E-3</v>
      </c>
      <c r="AC64" s="7" t="e">
        <v>#N/A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9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4">
        <v>-0.5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12380.459999999901</v>
      </c>
      <c r="Q66" s="17">
        <v>2675.4900000002999</v>
      </c>
      <c r="R66" s="17">
        <v>13373.5199999995</v>
      </c>
      <c r="S66" s="17">
        <v>7801.3799999999001</v>
      </c>
      <c r="T66" s="17">
        <v>3314.8000000007</v>
      </c>
      <c r="U66" s="17">
        <v>15741.4099999993</v>
      </c>
      <c r="V66" s="17">
        <v>4390.7099999999</v>
      </c>
      <c r="W66" s="17">
        <v>7177.4300000006997</v>
      </c>
      <c r="X66" s="17">
        <v>21039.769999999498</v>
      </c>
      <c r="Y66" s="17">
        <v>20179.690000000399</v>
      </c>
      <c r="Z66" s="17">
        <v>1978.1499999995001</v>
      </c>
      <c r="AA66" s="17">
        <v>14555.0700000003</v>
      </c>
      <c r="AB66" s="17">
        <v>18062.360000000299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-0.14283999999999999</v>
      </c>
      <c r="H67" s="7">
        <v>-7.2700000000000004E-3</v>
      </c>
      <c r="I67" s="7">
        <v>1.4014500000000001</v>
      </c>
      <c r="J67" s="7">
        <v>7.1730000000000002E-2</v>
      </c>
      <c r="K67" s="7">
        <v>0.57584999999999997</v>
      </c>
      <c r="L67" s="7">
        <v>-0.33260000000000001</v>
      </c>
      <c r="M67" s="7">
        <v>-9.7729999999999997E-2</v>
      </c>
      <c r="N67" s="7">
        <v>-1.9089999999999999E-2</v>
      </c>
      <c r="O67" s="7">
        <v>1.0619799999999999</v>
      </c>
      <c r="P67" s="7">
        <v>0.15348999999999999</v>
      </c>
      <c r="Q67" s="7">
        <v>0.76627000000000001</v>
      </c>
      <c r="R67" s="7">
        <v>0.37670999999999999</v>
      </c>
      <c r="S67" s="7">
        <v>-4.6600000000000001E-3</v>
      </c>
      <c r="T67" s="7">
        <v>0.33335999999999999</v>
      </c>
      <c r="U67" s="7">
        <v>7.4349999999999999E-2</v>
      </c>
      <c r="V67" s="7">
        <v>-0.22287999999999999</v>
      </c>
      <c r="W67" s="7">
        <v>0.76088999999999996</v>
      </c>
      <c r="X67" s="7">
        <v>2.5656400000000001</v>
      </c>
      <c r="Y67" s="7">
        <v>1.16405</v>
      </c>
      <c r="Z67" s="7">
        <v>0.50299000000000005</v>
      </c>
      <c r="AA67" s="54">
        <v>-0.46726000000000001</v>
      </c>
      <c r="AB67" s="54">
        <v>-0.56289999999999996</v>
      </c>
      <c r="AC67" s="7" t="e">
        <v>#N/A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46297.4221412037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28">
        <v>0.79000999999999999</v>
      </c>
      <c r="AB68" s="28">
        <v>0.46776000000000001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9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4">
        <v>5.6001500000000002</v>
      </c>
      <c r="Z71" s="54">
        <v>14.46053</v>
      </c>
      <c r="AA71" s="54">
        <v>5.1271599999999999</v>
      </c>
      <c r="AB71" s="54">
        <v>5.8182900000000002</v>
      </c>
      <c r="AC71" s="54">
        <v>6.4976500000000001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50">
        <v>46322.542708333334</v>
      </c>
      <c r="F72" s="49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4">
        <v>6.3414000000000001</v>
      </c>
      <c r="Z72" s="54">
        <v>14.432359999999999</v>
      </c>
      <c r="AA72" s="54">
        <v>5.4063699999999999</v>
      </c>
      <c r="AB72" s="54">
        <v>5.4802200000000001</v>
      </c>
      <c r="AC72" s="54">
        <v>6.6498299999999997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46268.371874999997</v>
      </c>
      <c r="E73" s="51">
        <v>46301.371874999997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-88576</v>
      </c>
      <c r="AC73" s="18" t="e">
        <v>#N/A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46288.67832175926</v>
      </c>
      <c r="E74" s="50">
        <v>46293.67832175926</v>
      </c>
      <c r="F74" s="49" t="s">
        <v>57</v>
      </c>
      <c r="G74" s="40">
        <v>4.51</v>
      </c>
      <c r="H74" s="40">
        <v>4.42</v>
      </c>
      <c r="I74" s="40">
        <v>4.2699999999999996</v>
      </c>
      <c r="J74" s="40">
        <v>4.21</v>
      </c>
      <c r="K74" s="40">
        <v>4.22</v>
      </c>
      <c r="L74" s="40">
        <v>4.2</v>
      </c>
      <c r="M74" s="40">
        <v>4.21</v>
      </c>
      <c r="N74" s="40">
        <v>4.25</v>
      </c>
      <c r="O74" s="40">
        <v>4.2300000000000004</v>
      </c>
      <c r="P74" s="40">
        <v>4.25</v>
      </c>
      <c r="Q74" s="40">
        <v>4.12</v>
      </c>
      <c r="R74" s="40">
        <v>3.92</v>
      </c>
      <c r="S74" s="40">
        <v>3.82</v>
      </c>
      <c r="T74" s="40">
        <v>3.78</v>
      </c>
      <c r="U74" s="40">
        <v>3.59</v>
      </c>
      <c r="V74" s="40">
        <v>3.57</v>
      </c>
      <c r="W74" s="40">
        <v>3.6</v>
      </c>
      <c r="X74" s="40">
        <v>3.61</v>
      </c>
      <c r="Y74" s="40">
        <v>3.61</v>
      </c>
      <c r="Z74" s="40">
        <v>3.6</v>
      </c>
      <c r="AA74" s="40">
        <v>3.66</v>
      </c>
      <c r="AB74" s="40">
        <v>3.73</v>
      </c>
      <c r="AC74" s="40">
        <v>3.72</v>
      </c>
      <c r="AD74" s="40" t="s">
        <v>35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46287.678252314814</v>
      </c>
      <c r="E75" s="52">
        <v>46293.678252314814</v>
      </c>
      <c r="F75" s="43" t="s">
        <v>55</v>
      </c>
      <c r="G75" s="40">
        <v>8</v>
      </c>
      <c r="H75" s="40">
        <v>7.81</v>
      </c>
      <c r="I75" s="40">
        <v>7.65</v>
      </c>
      <c r="J75" s="40">
        <v>7.5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7.5</v>
      </c>
      <c r="R75" s="40">
        <v>7.38</v>
      </c>
      <c r="S75" s="40">
        <v>7.23</v>
      </c>
      <c r="T75" s="40">
        <v>7</v>
      </c>
      <c r="U75" s="40">
        <v>6.84</v>
      </c>
      <c r="V75" s="40">
        <v>6.75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6.75</v>
      </c>
      <c r="AD75" s="40" t="s">
        <v>35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46288.678194444445</v>
      </c>
      <c r="E76" s="53">
        <v>46293.678194444452</v>
      </c>
      <c r="F76" s="47" t="s">
        <v>53</v>
      </c>
      <c r="G76" s="44">
        <v>3.97</v>
      </c>
      <c r="H76" s="44">
        <v>4.26</v>
      </c>
      <c r="I76" s="44">
        <v>4.2300000000000004</v>
      </c>
      <c r="J76" s="44">
        <v>4.2699999999999996</v>
      </c>
      <c r="K76" s="44">
        <v>4.21</v>
      </c>
      <c r="L76" s="44">
        <v>3.97</v>
      </c>
      <c r="M76" s="44">
        <v>3.78</v>
      </c>
      <c r="N76" s="44">
        <v>3.92</v>
      </c>
      <c r="O76" s="44">
        <v>3.89</v>
      </c>
      <c r="P76" s="44">
        <v>3.88</v>
      </c>
      <c r="Q76" s="44">
        <v>3.7</v>
      </c>
      <c r="R76" s="44">
        <v>3.57</v>
      </c>
      <c r="S76" s="44">
        <v>3.52</v>
      </c>
      <c r="T76" s="44">
        <v>3.55</v>
      </c>
      <c r="U76" s="44">
        <v>3.5</v>
      </c>
      <c r="V76" s="44">
        <v>3.54</v>
      </c>
      <c r="W76" s="44">
        <v>3.47</v>
      </c>
      <c r="X76" s="44">
        <v>3.71</v>
      </c>
      <c r="Y76" s="44">
        <v>3.8</v>
      </c>
      <c r="Z76" s="44">
        <v>4</v>
      </c>
      <c r="AA76" s="44">
        <v>4.1100000000000003</v>
      </c>
      <c r="AB76" s="44">
        <v>4.22</v>
      </c>
      <c r="AC76" s="44">
        <v>4.22</v>
      </c>
      <c r="AD76" s="44" t="s">
        <v>35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46288.67827546296</v>
      </c>
      <c r="E77" s="52">
        <v>46293.678275462968</v>
      </c>
      <c r="F77" s="49" t="s">
        <v>51</v>
      </c>
      <c r="G77" s="40">
        <v>4.0999999999999996</v>
      </c>
      <c r="H77" s="40">
        <v>4.3600000000000003</v>
      </c>
      <c r="I77" s="40">
        <v>4.3899999999999997</v>
      </c>
      <c r="J77" s="40">
        <v>4.63</v>
      </c>
      <c r="K77" s="40">
        <v>4.45</v>
      </c>
      <c r="L77" s="40">
        <v>4.28</v>
      </c>
      <c r="M77" s="40">
        <v>4.28</v>
      </c>
      <c r="N77" s="40">
        <v>4.42</v>
      </c>
      <c r="O77" s="40">
        <v>4.38</v>
      </c>
      <c r="P77" s="40">
        <v>4.3899999999999997</v>
      </c>
      <c r="Q77" s="40">
        <v>4.26</v>
      </c>
      <c r="R77" s="40">
        <v>4.12</v>
      </c>
      <c r="S77" s="40">
        <v>4.0599999999999996</v>
      </c>
      <c r="T77" s="40">
        <v>4.09</v>
      </c>
      <c r="U77" s="40">
        <v>4.1399999999999997</v>
      </c>
      <c r="V77" s="40">
        <v>4.21</v>
      </c>
      <c r="W77" s="40">
        <v>4.13</v>
      </c>
      <c r="X77" s="40">
        <v>4.25</v>
      </c>
      <c r="Y77" s="40">
        <v>4.32</v>
      </c>
      <c r="Z77" s="40">
        <v>4.4800000000000004</v>
      </c>
      <c r="AA77" s="40">
        <v>4.47</v>
      </c>
      <c r="AB77" s="40">
        <v>4.5999999999999996</v>
      </c>
      <c r="AC77" s="40">
        <v>4.68</v>
      </c>
      <c r="AD77" s="40" t="s">
        <v>35</v>
      </c>
      <c r="AH77" t="s">
        <v>44</v>
      </c>
    </row>
    <row r="78" spans="1:34" ht="15.75" x14ac:dyDescent="0.25">
      <c r="A78" s="43">
        <v>145</v>
      </c>
      <c r="B78" s="43" t="s">
        <v>50</v>
      </c>
      <c r="C78" s="16" t="s">
        <v>42</v>
      </c>
      <c r="D78" s="24">
        <v>46266.710868055554</v>
      </c>
      <c r="E78" s="52">
        <v>46293.710868055554</v>
      </c>
      <c r="F78" s="43" t="s">
        <v>49</v>
      </c>
      <c r="G78" s="42">
        <v>0.13</v>
      </c>
      <c r="H78" s="42">
        <v>0.1</v>
      </c>
      <c r="I78" s="42">
        <v>0.16</v>
      </c>
      <c r="J78" s="42">
        <v>0.36</v>
      </c>
      <c r="K78" s="42">
        <v>0.24</v>
      </c>
      <c r="L78" s="42">
        <v>0.31</v>
      </c>
      <c r="M78" s="42">
        <v>0.5</v>
      </c>
      <c r="N78" s="42">
        <v>0.5</v>
      </c>
      <c r="O78" s="42">
        <v>0.49</v>
      </c>
      <c r="P78" s="42">
        <v>0.51</v>
      </c>
      <c r="Q78" s="42">
        <v>0.56000000000000005</v>
      </c>
      <c r="R78" s="42">
        <v>0.55000000000000004</v>
      </c>
      <c r="S78" s="42">
        <v>0.54</v>
      </c>
      <c r="T78" s="42">
        <v>0.54</v>
      </c>
      <c r="U78" s="42">
        <v>0.64</v>
      </c>
      <c r="V78" s="42">
        <v>0.67</v>
      </c>
      <c r="W78" s="42">
        <v>0.66</v>
      </c>
      <c r="X78" s="42">
        <v>0.54</v>
      </c>
      <c r="Y78" s="42">
        <v>0.52</v>
      </c>
      <c r="Z78" s="42">
        <v>0.48</v>
      </c>
      <c r="AA78" s="42">
        <v>0.36</v>
      </c>
      <c r="AB78" s="48">
        <v>0.38</v>
      </c>
      <c r="AC78" s="48">
        <v>0.46</v>
      </c>
      <c r="AD78" s="42" t="e">
        <v>#N/A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46288.678263888891</v>
      </c>
      <c r="E79" s="51">
        <v>46293.678263888898</v>
      </c>
      <c r="F79" s="47" t="s">
        <v>47</v>
      </c>
      <c r="G79" s="44">
        <v>1.81</v>
      </c>
      <c r="H79" s="44">
        <v>2.0299999999999998</v>
      </c>
      <c r="I79" s="44">
        <v>2.09</v>
      </c>
      <c r="J79" s="44">
        <v>2.23</v>
      </c>
      <c r="K79" s="44">
        <v>2.0299999999999998</v>
      </c>
      <c r="L79" s="44">
        <v>1.95</v>
      </c>
      <c r="M79" s="44">
        <v>2.04</v>
      </c>
      <c r="N79" s="44">
        <v>2.11</v>
      </c>
      <c r="O79" s="44">
        <v>2.09</v>
      </c>
      <c r="P79" s="44">
        <v>2.0099999999999998</v>
      </c>
      <c r="Q79" s="44">
        <v>1.88</v>
      </c>
      <c r="R79" s="44">
        <v>1.75</v>
      </c>
      <c r="S79" s="44">
        <v>1.76</v>
      </c>
      <c r="T79" s="44">
        <v>1.83</v>
      </c>
      <c r="U79" s="44">
        <v>1.9</v>
      </c>
      <c r="V79" s="44">
        <v>1.91</v>
      </c>
      <c r="W79" s="44">
        <v>1.82</v>
      </c>
      <c r="X79" s="44">
        <v>1.91</v>
      </c>
      <c r="Y79" s="44">
        <v>1.94</v>
      </c>
      <c r="Z79" s="44">
        <v>2.04</v>
      </c>
      <c r="AA79" s="44">
        <v>2.1800000000000002</v>
      </c>
      <c r="AB79" s="44">
        <v>2.35</v>
      </c>
      <c r="AC79" s="44">
        <v>2.4</v>
      </c>
      <c r="AD79" s="44" t="s">
        <v>35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46288.678252314814</v>
      </c>
      <c r="E80" s="50">
        <v>46293.678252314814</v>
      </c>
      <c r="F80" s="49" t="s">
        <v>45</v>
      </c>
      <c r="G80" s="40">
        <v>4.38</v>
      </c>
      <c r="H80" s="40">
        <v>4.54</v>
      </c>
      <c r="I80" s="40">
        <v>4.58</v>
      </c>
      <c r="J80" s="40">
        <v>4.8499999999999996</v>
      </c>
      <c r="K80" s="40">
        <v>4.68</v>
      </c>
      <c r="L80" s="40">
        <v>4.5999999999999996</v>
      </c>
      <c r="M80" s="40">
        <v>4.71</v>
      </c>
      <c r="N80" s="40">
        <v>4.9000000000000004</v>
      </c>
      <c r="O80" s="40">
        <v>4.8899999999999997</v>
      </c>
      <c r="P80" s="40">
        <v>4.92</v>
      </c>
      <c r="Q80" s="40">
        <v>4.87</v>
      </c>
      <c r="R80" s="40">
        <v>4.74</v>
      </c>
      <c r="S80" s="40">
        <v>4.6399999999999997</v>
      </c>
      <c r="T80" s="40">
        <v>4.7</v>
      </c>
      <c r="U80" s="40">
        <v>4.8</v>
      </c>
      <c r="V80" s="40">
        <v>4.84</v>
      </c>
      <c r="W80" s="40">
        <v>4.76</v>
      </c>
      <c r="X80" s="40">
        <v>4.8499999999999996</v>
      </c>
      <c r="Y80" s="40">
        <v>4.91</v>
      </c>
      <c r="Z80" s="40">
        <v>5.03</v>
      </c>
      <c r="AA80" s="40">
        <v>4.95</v>
      </c>
      <c r="AB80" s="40">
        <v>5.0999999999999996</v>
      </c>
      <c r="AC80" s="40">
        <v>5.22</v>
      </c>
      <c r="AD80" s="40" t="s">
        <v>35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46288.710821759261</v>
      </c>
      <c r="E81" s="14">
        <v>46293.710821759261</v>
      </c>
      <c r="F81" s="43" t="s">
        <v>41</v>
      </c>
      <c r="G81" s="42">
        <v>-0.62</v>
      </c>
      <c r="H81" s="42">
        <v>-0.26</v>
      </c>
      <c r="I81" s="42">
        <v>0</v>
      </c>
      <c r="J81" s="42">
        <v>0.28999999999999998</v>
      </c>
      <c r="K81" s="42">
        <v>0.12</v>
      </c>
      <c r="L81" s="42">
        <v>-0.06</v>
      </c>
      <c r="M81" s="42">
        <v>-0.04</v>
      </c>
      <c r="N81" s="42">
        <v>0.06</v>
      </c>
      <c r="O81" s="42">
        <v>-0.04</v>
      </c>
      <c r="P81" s="42">
        <v>-0.02</v>
      </c>
      <c r="Q81" s="42">
        <v>-0.04</v>
      </c>
      <c r="R81" s="42">
        <v>0.05</v>
      </c>
      <c r="S81" s="42">
        <v>0.08</v>
      </c>
      <c r="T81" s="42">
        <v>0.16</v>
      </c>
      <c r="U81" s="42">
        <v>0.46</v>
      </c>
      <c r="V81" s="42">
        <v>0.55000000000000004</v>
      </c>
      <c r="W81" s="42">
        <v>0.44</v>
      </c>
      <c r="X81" s="42">
        <v>0.53</v>
      </c>
      <c r="Y81" s="42">
        <v>0.62</v>
      </c>
      <c r="Z81" s="42">
        <v>0.8</v>
      </c>
      <c r="AA81" s="42">
        <v>0.66</v>
      </c>
      <c r="AB81" s="48">
        <v>0.73</v>
      </c>
      <c r="AC81" s="48">
        <v>0.81</v>
      </c>
      <c r="AD81" s="40" t="s">
        <v>35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46286.678287037037</v>
      </c>
      <c r="E82" s="20">
        <v>46293.678287037037</v>
      </c>
      <c r="F82" s="47" t="s">
        <v>39</v>
      </c>
      <c r="G82" s="46">
        <v>1.0894999999999999</v>
      </c>
      <c r="H82" s="46">
        <v>1.0621</v>
      </c>
      <c r="I82" s="46">
        <v>1.0471999999999999</v>
      </c>
      <c r="J82" s="46">
        <v>1.0356000000000001</v>
      </c>
      <c r="K82" s="46">
        <v>1.0412999999999999</v>
      </c>
      <c r="L82" s="46">
        <v>1.0812999999999999</v>
      </c>
      <c r="M82" s="46">
        <v>1.1232</v>
      </c>
      <c r="N82" s="46">
        <v>1.1274</v>
      </c>
      <c r="O82" s="46">
        <v>1.1534</v>
      </c>
      <c r="P82" s="46">
        <v>1.1671</v>
      </c>
      <c r="Q82" s="46">
        <v>1.1647000000000001</v>
      </c>
      <c r="R82" s="46">
        <v>1.1738999999999999</v>
      </c>
      <c r="S82" s="46">
        <v>1.1640999999999999</v>
      </c>
      <c r="T82" s="46">
        <v>1.1557999999999999</v>
      </c>
      <c r="U82" s="46">
        <v>1.171</v>
      </c>
      <c r="V82" s="46">
        <v>1.1744000000000001</v>
      </c>
      <c r="W82" s="46">
        <v>1.1823999999999999</v>
      </c>
      <c r="X82" s="46">
        <v>1.1556999999999999</v>
      </c>
      <c r="Y82" s="46">
        <v>1.1697</v>
      </c>
      <c r="Z82" s="46">
        <v>1.1680999999999999</v>
      </c>
      <c r="AA82" s="46">
        <v>1.1516</v>
      </c>
      <c r="AB82" s="46">
        <v>1.1423000000000001</v>
      </c>
      <c r="AC82" s="45">
        <v>1.1594</v>
      </c>
      <c r="AD82" s="44" t="s">
        <v>35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46286.678240740737</v>
      </c>
      <c r="E83" s="23">
        <v>46293.67824074073</v>
      </c>
      <c r="F83" s="43" t="s">
        <v>36</v>
      </c>
      <c r="G83" s="42">
        <v>123.59529999999999</v>
      </c>
      <c r="H83" s="42">
        <v>126.3113</v>
      </c>
      <c r="I83" s="42">
        <v>127.5758</v>
      </c>
      <c r="J83" s="42">
        <v>128.83699999999999</v>
      </c>
      <c r="K83" s="42">
        <v>127.8758</v>
      </c>
      <c r="L83" s="42">
        <v>126.24299999999999</v>
      </c>
      <c r="M83" s="42">
        <v>124.14019999999999</v>
      </c>
      <c r="N83" s="42">
        <v>122.34220000000001</v>
      </c>
      <c r="O83" s="42">
        <v>120.5939</v>
      </c>
      <c r="P83" s="42">
        <v>120.1127</v>
      </c>
      <c r="Q83" s="42">
        <v>120.5758</v>
      </c>
      <c r="R83" s="42">
        <v>120.0291</v>
      </c>
      <c r="S83" s="42">
        <v>120.76179999999999</v>
      </c>
      <c r="T83" s="42">
        <v>121.4177</v>
      </c>
      <c r="U83" s="42">
        <v>120.1883</v>
      </c>
      <c r="V83" s="42">
        <v>119.2298</v>
      </c>
      <c r="W83" s="42">
        <v>117.90600000000001</v>
      </c>
      <c r="X83" s="42">
        <v>119.9199</v>
      </c>
      <c r="Y83" s="42">
        <v>119.0363</v>
      </c>
      <c r="Z83" s="42">
        <v>118.7792</v>
      </c>
      <c r="AA83" s="42">
        <v>120.0834</v>
      </c>
      <c r="AB83" s="42">
        <v>120.59699999999999</v>
      </c>
      <c r="AC83" s="41">
        <v>118.85120000000001</v>
      </c>
      <c r="AD83" s="40" t="s">
        <v>35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46260.367372685185</v>
      </c>
      <c r="E88" s="23">
        <v>46295.367372685185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1.94675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46260.3671412037</v>
      </c>
      <c r="E90" s="14">
        <v>46295.367141203693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2.0592000000000001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46260.3675</v>
      </c>
      <c r="E92" s="20">
        <v>46295.367499999993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-91.087000000000003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46260.367372685185</v>
      </c>
      <c r="E95" s="20">
        <v>46295.367372685185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3990.5369999999998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2.00332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-1.32026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1.8177700000000001</v>
      </c>
      <c r="O132" s="2">
        <v>1.82314</v>
      </c>
      <c r="P132" s="2">
        <v>2.1143399999999999</v>
      </c>
      <c r="Q132" s="2">
        <v>-10000000000</v>
      </c>
      <c r="R132" s="2">
        <v>-10000000000</v>
      </c>
      <c r="S132" s="2">
        <v>3.1039699999999999</v>
      </c>
      <c r="T132" s="2">
        <v>-10000000000</v>
      </c>
      <c r="U132" s="2">
        <v>3.4494099999999999</v>
      </c>
      <c r="V132" s="2">
        <v>2.7845900000000001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4.7821400000000001</v>
      </c>
      <c r="J133" s="2">
        <v>8.6400299999999994</v>
      </c>
      <c r="K133" s="2">
        <v>9.3640600000000003</v>
      </c>
      <c r="L133" s="2">
        <v>6.5289299999999999</v>
      </c>
      <c r="M133" s="2">
        <v>0.27726000000000001</v>
      </c>
      <c r="N133" s="2">
        <v>-10000000000</v>
      </c>
      <c r="O133" s="2">
        <v>-10000000000</v>
      </c>
      <c r="P133" s="2">
        <v>-10000000000</v>
      </c>
      <c r="Q133" s="2">
        <v>1.4526600000000001</v>
      </c>
      <c r="R133" s="2">
        <v>3.4353099999999999</v>
      </c>
      <c r="S133" s="2">
        <v>-10000000000</v>
      </c>
      <c r="T133" s="2">
        <v>1.89177</v>
      </c>
      <c r="U133" s="2">
        <v>-10000000000</v>
      </c>
      <c r="V133" s="2">
        <v>-10000000000</v>
      </c>
      <c r="W133" s="2">
        <v>5.3440700000000003</v>
      </c>
      <c r="X133" s="2">
        <v>9.3355499999999996</v>
      </c>
      <c r="Y133" s="2">
        <v>15.40253</v>
      </c>
      <c r="Z133" s="2">
        <v>20.728020000000001</v>
      </c>
      <c r="AA133" s="2">
        <v>10.44711</v>
      </c>
      <c r="AB133" s="2">
        <v>9.8271599999999992</v>
      </c>
      <c r="AC133" s="2">
        <v>13.063190000000001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0.29111999999999999</v>
      </c>
      <c r="N135" s="2">
        <v>10000000000</v>
      </c>
      <c r="O135" s="2">
        <v>1.8916599999999999</v>
      </c>
      <c r="P135" s="2">
        <v>1.9171</v>
      </c>
      <c r="Q135" s="2">
        <v>1.9361200000000001</v>
      </c>
      <c r="R135" s="2">
        <v>3.10771</v>
      </c>
      <c r="S135" s="2">
        <v>10000000000</v>
      </c>
      <c r="T135" s="2">
        <v>2.7689699999999999</v>
      </c>
      <c r="U135" s="2">
        <v>2.15889</v>
      </c>
      <c r="V135" s="2">
        <v>1.11154</v>
      </c>
      <c r="W135" s="2">
        <v>1.6553800000000001</v>
      </c>
      <c r="X135" s="2">
        <v>10000000000</v>
      </c>
      <c r="Y135" s="2">
        <v>10000000000</v>
      </c>
      <c r="Z135" s="2">
        <v>10000000000</v>
      </c>
      <c r="AA135" s="2">
        <v>6.55274</v>
      </c>
      <c r="AB135" s="2">
        <v>5.7949400000000004</v>
      </c>
      <c r="AC135" s="2">
        <v>6.5589300000000001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9.7409999999999997E-2</v>
      </c>
      <c r="J136" s="2">
        <v>0.96982999999999997</v>
      </c>
      <c r="K136" s="2">
        <v>0.28866000000000003</v>
      </c>
      <c r="L136" s="2">
        <v>0.69299999999999995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6.9090499999999997</v>
      </c>
      <c r="Y136" s="2">
        <v>9.4268000000000001</v>
      </c>
      <c r="Z136" s="2">
        <v>12.209860000000001</v>
      </c>
      <c r="AA136" s="2">
        <v>10000000000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-4.3331</v>
      </c>
      <c r="H137" s="2">
        <v>-2.0904600000000002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-1.1279399999999999</v>
      </c>
      <c r="O137" s="2">
        <v>10000000000</v>
      </c>
      <c r="P137" s="2">
        <v>10000000000</v>
      </c>
      <c r="Q137" s="2">
        <v>10000000000</v>
      </c>
      <c r="R137" s="2">
        <v>10000000000</v>
      </c>
      <c r="S137" s="2">
        <v>-0.64237999999999995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cellIs" dxfId="209" priority="210" stopIfTrue="1" operator="greaterThanOrEqual">
      <formula>0</formula>
    </cfRule>
  </conditionalFormatting>
  <conditionalFormatting sqref="G8:AD8">
    <cfRule type="cellIs" dxfId="208" priority="209" stopIfTrue="1" operator="lessThan">
      <formula>0</formula>
    </cfRule>
  </conditionalFormatting>
  <conditionalFormatting sqref="G8:AD8">
    <cfRule type="expression" dxfId="207" priority="208">
      <formula>ISERROR(G8)</formula>
    </cfRule>
  </conditionalFormatting>
  <conditionalFormatting sqref="G9:AD9">
    <cfRule type="cellIs" dxfId="206" priority="207" stopIfTrue="1" operator="greaterThanOrEqual">
      <formula>F9</formula>
    </cfRule>
  </conditionalFormatting>
  <conditionalFormatting sqref="G9:AD9">
    <cfRule type="cellIs" dxfId="205" priority="206" stopIfTrue="1" operator="lessThan">
      <formula>F9</formula>
    </cfRule>
  </conditionalFormatting>
  <conditionalFormatting sqref="G9:AD9">
    <cfRule type="expression" dxfId="204" priority="205">
      <formula>ISERROR(G9)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1E7FA348-6813-45EF-BD78-AA62F84E8A8C}">
      <formula1>FormatOptions</formula1>
    </dataValidation>
  </dataValidations>
  <hyperlinks>
    <hyperlink ref="C4" r:id="rId1" display="https://fred.stlouisfed.org/series/MPCTXXXXS" xr:uid="{A3DE9394-07EF-4DA5-850C-0AB0432779E0}"/>
    <hyperlink ref="C5" r:id="rId2" display="https://fred.stlouisfed.org/series/TLPRVCONS" xr:uid="{AB3E207C-6689-4FF4-A8B5-706E83DE724D}"/>
    <hyperlink ref="C6" r:id="rId3" display="https://fred.stlouisfed.org/series/TLRESCONS" xr:uid="{D7188CB0-0BF6-4E48-A7D8-40E6961E04A3}"/>
    <hyperlink ref="C7" r:id="rId4" display="https://fred.stlouisfed.org/series/TLHWYCONS" xr:uid="{68C4987E-3984-452E-A7A4-2F721A12DA9D}"/>
    <hyperlink ref="C8" r:id="rId5" display="https://fred.stlouisfed.org/series/HSN1F" xr:uid="{F3E23CF1-8462-4E9B-8D10-5CF050F26CF7}"/>
    <hyperlink ref="C9" r:id="rId6" display="https://fred.stlouisfed.org/series/HOUST" xr:uid="{B5320CB0-0A29-4D67-9DFC-85258F67253B}"/>
    <hyperlink ref="C11" r:id="rId7" display="https://fred.stlouisfed.org/series/UNDCONTSA" xr:uid="{FC67D8B7-99B8-40C2-8675-AF0CF03BA402}"/>
    <hyperlink ref="C12" r:id="rId8" display="https://fred.stlouisfed.org/series/PERMIT" xr:uid="{55B2F52B-68D9-4BCF-BADA-2923A8E2F42F}"/>
    <hyperlink ref="C13" r:id="rId9" display="https://fred.stlouisfed.org/series/MORTGAGE30US" xr:uid="{CFB287D0-53F4-4C41-A232-26DAE7179175}"/>
    <hyperlink ref="C16" r:id="rId10" display="https://fred.stlouisfed.org/series/ALTSALES" xr:uid="{186A36C0-CF63-40E4-89B1-A7E6BAC06FD0}"/>
    <hyperlink ref="C17" r:id="rId11" display="https://fred.stlouisfed.org/series/AISRSA" xr:uid="{F1238815-A120-4655-8526-F371BF96EB6B}"/>
    <hyperlink ref="C18" r:id="rId12" display="https://fred.stlouisfed.org/series/DAUTOSAAR" xr:uid="{8230F67D-9E78-40FD-AD32-D222878C89C7}"/>
    <hyperlink ref="C19" r:id="rId13" display="https://fred.stlouisfed.org/series/DAUPSA" xr:uid="{A803E730-5E2D-4576-827E-F70B1A50E9A7}"/>
    <hyperlink ref="C23" r:id="rId14" display="https://fred.stlouisfed.org/series/UNEMPLOY" xr:uid="{2A96724C-9ACB-4E3A-9C06-A383716E8908}"/>
    <hyperlink ref="C24" r:id="rId15" display="https://fred.stlouisfed.org/series/UNRATE" xr:uid="{AD8211B6-0062-4D26-8942-9865BCE7018C}"/>
    <hyperlink ref="C25" r:id="rId16" display="https://fred.stlouisfed.org/series/AWHNONAG" xr:uid="{914DDB23-32FD-4FF8-BC36-B9942FDBEA3F}"/>
    <hyperlink ref="C26" r:id="rId17" display="https://fred.stlouisfed.org/series/CLF16OV" xr:uid="{959931F8-5BA2-40CC-AEFB-17A07E021BF9}"/>
    <hyperlink ref="C29" r:id="rId18" display="https://fred.stlouisfed.org/series/INDPRO" xr:uid="{A1DD878F-7F6B-49D1-8074-ED03D02980B1}"/>
    <hyperlink ref="C30" r:id="rId19" display="https://fred.stlouisfed.org/series/TCU" xr:uid="{23B9C10C-102D-480D-98A0-30820A0F4ED0}"/>
    <hyperlink ref="C31" r:id="rId20" display="https://fred.stlouisfed.org/series/AMTMNO" xr:uid="{A25FA954-2D6B-4715-9A8D-EB179C46DC58}"/>
    <hyperlink ref="C32" r:id="rId21" display="https://fred.stlouisfed.org/series/DGORDER" xr:uid="{15C2EA5D-B068-49CA-93F1-2D76965D1A34}"/>
    <hyperlink ref="C33" r:id="rId22" display="https://fred.stlouisfed.org/series/ANXAVS" xr:uid="{3200516F-50C1-49DA-98C1-BBD00526F99C}"/>
    <hyperlink ref="C36" r:id="rId23" display="https://fred.stlouisfed.org/series/BUSINV" xr:uid="{366509CD-F21B-4FE2-BC10-E7CFDC0E3024}"/>
    <hyperlink ref="C37" r:id="rId24" display="https://fred.stlouisfed.org/series/ISRATIO" xr:uid="{1A25393D-4B3A-4C46-A169-8208499AE68C}"/>
    <hyperlink ref="C38" r:id="rId25" display="https://fred.stlouisfed.org/series/RETAILMPCIMSA" xr:uid="{4D557655-C41A-4E97-B381-BAF7ABD4E575}"/>
    <hyperlink ref="C39" r:id="rId26" display="https://fred.stlouisfed.org/series/ACNGTI" xr:uid="{3C35B91F-0DBE-4BEA-9DE5-2DEDD017DC07}"/>
    <hyperlink ref="C42" r:id="rId27" display="https://fred.stlouisfed.org/series/CPIAUCSL" xr:uid="{AEFC994A-E66A-428F-8907-3864E1D390F9}"/>
    <hyperlink ref="C43" r:id="rId28" display="https://fred.stlouisfed.org/series/CPIFABSL" xr:uid="{9F9B971C-F79D-422E-821D-D8ACFF2EC96A}"/>
    <hyperlink ref="C44" r:id="rId29" display="https://fred.stlouisfed.org/series/CPIENGSL" xr:uid="{2C7BBCEF-7560-4869-A694-CA206490EAAA}"/>
    <hyperlink ref="C45" r:id="rId30" display="https://fred.stlouisfed.org/series/CPILFESL" xr:uid="{F93936B6-02ED-4A1F-BB83-09539A0DC156}"/>
    <hyperlink ref="C48" r:id="rId31" display="https://fred.stlouisfed.org/series/WPUFD49207" xr:uid="{6B5CAB80-5C29-423E-8D0D-1778A4EEA783}"/>
    <hyperlink ref="C49" r:id="rId32" display="https://fred.stlouisfed.org/series/WPSID61" xr:uid="{05B050A2-C14E-45B0-9187-1D69D98F7186}"/>
    <hyperlink ref="C50" r:id="rId33" display="https://fred.stlouisfed.org/series/PRAWMINDEXM" xr:uid="{62C063EC-B656-4F4A-9AE8-0EAC48F313B4}"/>
    <hyperlink ref="C52" r:id="rId34" display="https://fred.stlouisfed.org/series/DCOILWTICO" xr:uid="{F516081B-96C0-4451-A95B-5F959F9FFFE4}"/>
    <hyperlink ref="C53" r:id="rId35" display="https://fred.stlouisfed.org/series/DCOILBRENTEU" xr:uid="{916EB38A-8BDD-4DA2-B13D-55C44242D31D}"/>
    <hyperlink ref="C54" r:id="rId36" display="https://fred.stlouisfed.org/series/DHHNGSP" xr:uid="{B9C57663-A16A-440D-BA38-4F7E2DBA772B}"/>
    <hyperlink ref="C58" r:id="rId37" display="https://fred.stlouisfed.org/series/DHHNGSP" xr:uid="{D6DCB4BB-6992-4C91-99C7-B93ABC0BAD29}"/>
    <hyperlink ref="C59" r:id="rId38" display="https://fred.stlouisfed.org/series/PI" xr:uid="{3D8ED532-524A-4EA6-98E5-9B8BCD8D73A5}"/>
    <hyperlink ref="C60" r:id="rId39" display="https://fred.stlouisfed.org/series/DSPI" xr:uid="{294ABC39-FB89-452D-A355-30EB4379F9B0}"/>
    <hyperlink ref="C61" r:id="rId40" display="https://fred.stlouisfed.org/series/A229RX0" xr:uid="{E09DAE40-09A4-4F26-AA7B-9524DD2FBE38}"/>
    <hyperlink ref="C62" r:id="rId41" display="https://fred.stlouisfed.org/series/PSAVERT" xr:uid="{D4944DB7-D218-4BF5-B377-69B29848CD80}"/>
    <hyperlink ref="C63" r:id="rId42" display="https://fred.stlouisfed.org/series/PCE" xr:uid="{E3095085-14BF-4F0C-913C-6F39FBEDF3D7}"/>
    <hyperlink ref="C64" r:id="rId43" display="https://fred.stlouisfed.org/series/PCEC96" xr:uid="{297C8CA1-1A09-450C-9CEF-C95C22EE2890}"/>
    <hyperlink ref="C65" r:id="rId44" display="https://fred.stlouisfed.org/series/MRTSMPCSM44X72USS" xr:uid="{C204305A-918A-4465-8D92-9ABC98D939F6}"/>
    <hyperlink ref="C66" r:id="rId45" display="https://fred.stlouisfed.org/series/TOTALSL" xr:uid="{BCAD7468-24AA-4A5B-ABB4-698E5FD73F47}"/>
    <hyperlink ref="C67" r:id="rId46" display="https://fred.stlouisfed.org/series/PCEND" xr:uid="{755BCD7C-7430-4793-8ACE-7F40F714F726}"/>
    <hyperlink ref="C68" r:id="rId47" display="https://fred.stlouisfed.org/series/A22BVS" xr:uid="{92546495-9A54-4B21-B48E-846ED714A23E}"/>
    <hyperlink ref="C71" r:id="rId48" display="https://fred.stlouisfed.org/series/M1SL" xr:uid="{60E2F72D-E474-4ABD-AA45-69AC376E7410}"/>
    <hyperlink ref="C72" r:id="rId49" display="https://fred.stlouisfed.org/series/M2SL" xr:uid="{CB9AC319-925D-41A6-B8BB-CE1DC57FC007}"/>
    <hyperlink ref="C74" r:id="rId50" display="https://fred.stlouisfed.org/series/DTB3" xr:uid="{7B0C6F71-DC2A-4822-9E6D-E83CC3D6EA6D}"/>
    <hyperlink ref="C75" r:id="rId51" display="https://fred.stlouisfed.org/series/DPRIME" xr:uid="{42A078E7-D304-44AF-8DD7-9C7E6AE16AF2}"/>
    <hyperlink ref="C76" r:id="rId52" display="https://fred.stlouisfed.org/series/DGS10" xr:uid="{0D90342F-29D2-4223-A54C-A4845CDC8D6A}"/>
    <hyperlink ref="C79" r:id="rId53" display="https://fred.stlouisfed.org/series/DFII10" xr:uid="{4511A848-6AA8-4A99-A99B-F00CF98B70A7}"/>
    <hyperlink ref="C80" r:id="rId54" display="https://fred.stlouisfed.org/series/DGS30" xr:uid="{F75DC752-0D4E-46CA-9A89-70F8F8562564}"/>
    <hyperlink ref="C82" r:id="rId55" display="https://fred.stlouisfed.org/series/DEXUSEU" xr:uid="{D124C421-19AE-42D3-9E74-C5DB225FF5A2}"/>
    <hyperlink ref="C83" r:id="rId56" display="https://fred.stlouisfed.org/series/DTWEXBGS" xr:uid="{ED85057A-F633-427F-ABE8-D8FA42723ACB}"/>
    <hyperlink ref="C87" r:id="rId57" display="https://fred.stlouisfed.org/series/GDPC1" xr:uid="{2F89A164-67BE-4780-9291-4C40BD196658}"/>
    <hyperlink ref="C88" r:id="rId58" display="https://fred.stlouisfed.org/series/GDP" xr:uid="{9B39ED63-33AF-4A2F-9D12-3A1DDF08FA50}"/>
    <hyperlink ref="C89" r:id="rId59" display="https://fred.stlouisfed.org/series/PCEDG" xr:uid="{D782E922-182D-4558-9E15-9E6218CC26FD}"/>
    <hyperlink ref="C90" r:id="rId60" display="https://fred.stlouisfed.org/series/PNFIC1" xr:uid="{2C198EC4-2914-4668-928B-6C5B6822F607}"/>
    <hyperlink ref="C91" r:id="rId61" display="https://fred.stlouisfed.org/series/PRFIC1" xr:uid="{9B2A7C1F-0054-48F5-9A6E-6698F6B95247}"/>
    <hyperlink ref="C92" r:id="rId62" display="https://fred.stlouisfed.org/series/CBI" xr:uid="{C529AF95-6D0E-41BB-814D-908AD2269059}"/>
    <hyperlink ref="C93" r:id="rId63" display="https://fred.stlouisfed.org/series/NETEXC" xr:uid="{A73257E7-E1FC-495E-8259-2C87780AF8F2}"/>
    <hyperlink ref="C94" r:id="rId64" display="https://fred.stlouisfed.org/series/IEABC" xr:uid="{5042AA7B-D2A4-4BF2-9EB2-A5E2128F5AA5}"/>
    <hyperlink ref="C73" r:id="rId65" display="https://fred.stlouisfed.org/series/BOPGSTB" xr:uid="{A9BD325A-55BF-4675-942A-8E6490DD3910}"/>
    <hyperlink ref="C95" r:id="rId66" display="https://fred.stlouisfed.org/series/GCEC1" xr:uid="{F6290576-6A25-4046-9500-175FC4042247}"/>
    <hyperlink ref="C96" r:id="rId67" display="https://fred.stlouisfed.org/series/EVACANTUSQ176N" xr:uid="{6BDE78C8-C754-4E60-88B7-8512EC837402}"/>
    <hyperlink ref="C81" r:id="rId68" display="https://fred.stlouisfed.org/series/DTWEXBGS" xr:uid="{499BA705-39B5-4CA7-BFA8-1ECEA17F8B47}"/>
    <hyperlink ref="C78" r:id="rId69" display="https://fred.stlouisfed.org/series/DTWEXBGS" xr:uid="{4511087E-3334-4BC9-8225-A258C8229171}"/>
    <hyperlink ref="C77" r:id="rId70" display="https://fred.stlouisfed.org/series/DGS10" xr:uid="{72F47A45-176A-4D73-B325-BFA49CE219FA}"/>
    <hyperlink ref="C51" r:id="rId71" display="https://fred.stlouisfed.org/series/PRAWMINDEXM" xr:uid="{B0B66618-2EE6-4D73-9E81-8CCA27351D46}"/>
    <hyperlink ref="C22" r:id="rId72" display="https://fred.stlouisfed.org/series/PAYEMS" xr:uid="{983CD117-5367-4047-B76F-599972423ABB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260926 EconSheet</vt:lpstr>
      <vt:lpstr>'260926 EconSheet'!Conditions</vt:lpstr>
      <vt:lpstr>'260926 EconSheet'!DataTable</vt:lpstr>
      <vt:lpstr>'260926 EconSheet'!DataTableStart</vt:lpstr>
      <vt:lpstr>'260926 EconSheet'!DatesAndSeries</vt:lpstr>
      <vt:lpstr>'260926 EconSheet'!DatesCol</vt:lpstr>
      <vt:lpstr>'260926 EconSheet'!ESSeries</vt:lpstr>
      <vt:lpstr>'260926 EconSheet'!FormatTable</vt:lpstr>
      <vt:lpstr>'260926 EconSheet'!Print_Area</vt:lpstr>
      <vt:lpstr>'260926 EconSheet'!SpFormat1</vt:lpstr>
      <vt:lpstr>'260926 EconSheet'!SpFormat2</vt:lpstr>
      <vt:lpstr>'260926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2026-09-26T13:36:19Z</dcterms:created>
  <dcterms:modified xsi:type="dcterms:W3CDTF">2026-09-26T13:36:21Z</dcterms:modified>
</cp:coreProperties>
</file>